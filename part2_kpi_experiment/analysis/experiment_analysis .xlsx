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0" documentId="8_{B8FA41BB-2E76-4F2E-BB28-65CD34BB0AE6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Raw_Data" sheetId="1" r:id="rId1"/>
    <sheet name="Data_Quality_Check" sheetId="2" r:id="rId2"/>
    <sheet name="Summary_Metrics" sheetId="3" r:id="rId3"/>
    <sheet name="Segment_Analysis" sheetId="4" r:id="rId4"/>
    <sheet name="Hypothesis_Test" sheetId="5" r:id="rId5"/>
  </sheets>
  <calcPr calcId="191028"/>
  <pivotCaches>
    <pivotCache cacheId="10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2" l="1"/>
  <c r="B12" i="3"/>
  <c r="C13" i="3"/>
  <c r="B13" i="3"/>
  <c r="C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E268" i="2"/>
  <c r="E269" i="2"/>
  <c r="E270" i="2"/>
  <c r="E271" i="2"/>
  <c r="E272" i="2"/>
  <c r="E273" i="2"/>
  <c r="E274" i="2"/>
  <c r="E41" i="2"/>
  <c r="E42" i="2"/>
  <c r="E43" i="2"/>
  <c r="E40" i="2"/>
  <c r="E32" i="2"/>
  <c r="E33" i="2"/>
  <c r="E34" i="2"/>
  <c r="E35" i="2"/>
  <c r="E36" i="2"/>
  <c r="E37" i="2"/>
  <c r="E38" i="2"/>
  <c r="E39" i="2"/>
  <c r="E30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1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<sst xmlns="http://schemas.openxmlformats.org/spreadsheetml/2006/main" count="8512" uniqueCount="1467">
  <si>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</si>
  <si>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</si>
  <si>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</si>
  <si>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</si>
  <si>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</si>
  <si>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</si>
  <si>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</si>
  <si>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</si>
  <si>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</si>
  <si>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</si>
  <si>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</si>
  <si>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</si>
  <si>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</si>
  <si>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</si>
  <si>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</si>
  <si>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</si>
  <si>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</si>
  <si>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</si>
  <si>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</si>
  <si>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</si>
  <si>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</si>
  <si>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</si>
  <si>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</si>
  <si>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</si>
  <si>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</si>
  <si>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</si>
  <si>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</si>
  <si>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</si>
  <si>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</si>
  <si>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</si>
  <si>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</si>
  <si>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</si>
  <si>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</si>
  <si>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</si>
  <si>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</si>
  <si>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</si>
  <si>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</si>
  <si>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</si>
  <si>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</si>
  <si>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</si>
  <si>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</si>
  <si>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</si>
  <si>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</si>
  <si>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</si>
  <si>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</si>
  <si>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</si>
  <si>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</si>
  <si>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</si>
  <si>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</si>
  <si>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</si>
  <si>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</si>
  <si>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</si>
  <si>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</si>
  <si>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</si>
  <si>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</si>
  <si>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</si>
  <si>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</si>
  <si>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</si>
  <si>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</si>
  <si>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</si>
  <si>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</si>
  <si>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</si>
  <si>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</si>
  <si>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</si>
  <si>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</si>
  <si>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</si>
  <si>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</si>
  <si>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</si>
  <si>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</si>
  <si>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</si>
  <si>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</si>
  <si>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</si>
  <si>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</si>
  <si>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</si>
  <si>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</si>
  <si>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</si>
  <si>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</si>
  <si>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</si>
  <si>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</si>
  <si>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</si>
  <si>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</si>
  <si>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</si>
  <si>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</si>
  <si>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</si>
  <si>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</si>
  <si>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</si>
  <si>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</si>
  <si>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</si>
  <si>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</si>
  <si>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</si>
  <si>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</si>
  <si>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</si>
  <si>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</si>
  <si>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</si>
  <si>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</si>
  <si>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</si>
  <si>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</si>
  <si>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</si>
  <si>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</si>
  <si>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</si>
  <si>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</si>
  <si>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</si>
  <si>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</si>
  <si>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</si>
  <si>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</si>
  <si>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</si>
  <si>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</si>
  <si>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</si>
  <si>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</si>
  <si>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</si>
  <si>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</si>
  <si>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</si>
  <si>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</si>
  <si>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</si>
  <si>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</si>
  <si>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</si>
  <si>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</si>
  <si>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</si>
  <si>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</si>
  <si>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</si>
  <si>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</si>
  <si>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</si>
  <si>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</si>
  <si>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</si>
  <si>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</si>
  <si>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</si>
  <si>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</si>
  <si>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</si>
  <si>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</si>
  <si>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</si>
  <si>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</si>
  <si>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</si>
  <si>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</si>
  <si>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</si>
  <si>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</si>
  <si>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</si>
  <si>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</si>
  <si>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</si>
  <si>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</si>
  <si>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</si>
  <si>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</si>
  <si>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</si>
  <si>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</si>
  <si>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</si>
  <si>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</si>
  <si>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</si>
  <si>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</si>
  <si>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</si>
  <si>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</si>
  <si>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</si>
  <si>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</si>
  <si>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</si>
  <si>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</si>
  <si>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</si>
  <si>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</si>
  <si>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</si>
  <si>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</si>
  <si>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</si>
  <si>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</si>
  <si>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</si>
  <si>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</si>
  <si>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</si>
  <si>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</si>
  <si>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</si>
  <si>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</si>
  <si>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</si>
  <si>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</si>
  <si>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</si>
  <si>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</si>
  <si>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</si>
  <si>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</si>
  <si>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</si>
  <si>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</si>
  <si>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</si>
  <si>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</si>
  <si>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</si>
  <si>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</si>
  <si>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</si>
  <si>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</si>
  <si>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</si>
  <si>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</si>
  <si>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</si>
  <si>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</si>
  <si>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</si>
  <si>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</si>
  <si>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</si>
  <si>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</si>
  <si>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</si>
  <si>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</si>
  <si>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</si>
  <si>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</si>
  <si>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</si>
  <si>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</si>
  <si>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</si>
  <si>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</si>
  <si>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</si>
  <si>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</si>
  <si>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</si>
  <si>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</si>
  <si>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</si>
  <si>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</si>
  <si>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</si>
  <si>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</si>
  <si>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</si>
  <si>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</si>
  <si>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</si>
  <si>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</si>
  <si>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</si>
  <si>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</si>
  <si>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</si>
  <si>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</si>
  <si>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</si>
  <si>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</si>
  <si>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</si>
  <si>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</si>
  <si>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</si>
  <si>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</si>
  <si>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</si>
  <si>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</si>
  <si>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</si>
  <si>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</si>
  <si>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</si>
  <si>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</si>
  <si>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</si>
  <si>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</si>
  <si>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</si>
  <si>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</si>
  <si>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</si>
  <si>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</si>
  <si>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</si>
  <si>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</si>
  <si>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</si>
  <si>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</si>
  <si>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</si>
  <si>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</si>
  <si>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</si>
  <si>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</si>
  <si>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</si>
  <si>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</si>
  <si>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</si>
  <si>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</si>
  <si>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</si>
  <si>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</si>
  <si>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</si>
  <si>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</si>
  <si>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</si>
  <si>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</si>
  <si>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</si>
  <si>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</si>
  <si>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</si>
  <si>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</si>
  <si>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</si>
  <si>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</si>
  <si>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</si>
  <si>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</si>
  <si>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</si>
  <si>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</si>
  <si>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</si>
  <si>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</si>
  <si>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</si>
  <si>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</si>
  <si>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</si>
  <si>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</si>
  <si>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</si>
  <si>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</si>
  <si>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</si>
  <si>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</si>
  <si>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</si>
  <si>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</si>
  <si>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</si>
  <si>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</si>
  <si>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</si>
  <si>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</si>
  <si>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</si>
  <si>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</si>
  <si>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</si>
  <si>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</si>
  <si>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</si>
  <si>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</si>
  <si>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</si>
  <si>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</si>
  <si>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</si>
  <si>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</si>
  <si>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</si>
  <si>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</si>
  <si>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</si>
  <si>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</si>
  <si>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</si>
  <si>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</si>
  <si>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</si>
  <si>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</si>
  <si>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</si>
  <si>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</si>
  <si>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</si>
  <si>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</si>
  <si>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</si>
  <si>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</si>
  <si>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</si>
  <si>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</si>
  <si>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</si>
  <si>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</si>
  <si>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</si>
  <si>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</si>
  <si>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</si>
  <si>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</si>
  <si>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</si>
  <si>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</si>
  <si>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</si>
  <si>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</si>
  <si>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</si>
  <si>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</si>
  <si>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</si>
  <si>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</si>
  <si>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</si>
  <si>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</si>
  <si>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</si>
  <si>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</si>
  <si>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</si>
  <si>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</si>
  <si>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</si>
  <si>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</si>
  <si>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</si>
  <si>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</si>
  <si>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</si>
  <si>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</si>
  <si>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</si>
  <si>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</si>
  <si>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</si>
  <si>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</si>
  <si>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</si>
  <si>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</si>
  <si>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</si>
  <si>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</si>
  <si>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</si>
  <si>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</si>
  <si>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</si>
  <si>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</si>
  <si>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</si>
  <si>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</si>
  <si>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</si>
  <si>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</si>
  <si>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</si>
  <si>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</si>
  <si>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</si>
  <si>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</si>
  <si>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</si>
  <si>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</si>
  <si>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</si>
  <si>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</si>
  <si>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</si>
  <si>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</si>
  <si>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</si>
  <si>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</si>
  <si>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</si>
  <si>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</si>
  <si>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</si>
  <si>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</si>
  <si>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</si>
  <si>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</si>
  <si>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</si>
  <si>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</si>
  <si>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</si>
  <si>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</si>
  <si>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</si>
  <si>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</si>
  <si>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</si>
  <si>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</si>
  <si>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</si>
  <si>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</si>
  <si>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</si>
  <si>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</si>
  <si>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</si>
  <si>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</si>
  <si>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</si>
  <si>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</si>
  <si>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</si>
  <si>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</si>
  <si>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</si>
  <si>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</si>
  <si>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</si>
  <si>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</si>
  <si>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</si>
  <si>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</si>
  <si>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</si>
  <si>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</si>
  <si>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</si>
  <si>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</si>
  <si>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</si>
  <si>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</si>
  <si>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</si>
  <si>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</si>
  <si>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</si>
  <si>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</si>
  <si>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</si>
  <si>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</si>
  <si>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</si>
  <si>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</si>
  <si>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</si>
  <si>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</si>
  <si>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</si>
  <si>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</si>
  <si>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</si>
  <si>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</si>
  <si>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</si>
  <si>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</si>
  <si>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</si>
  <si>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</si>
  <si>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</si>
  <si>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</si>
  <si>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</si>
  <si>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</si>
  <si>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</si>
  <si>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</si>
  <si>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</si>
  <si>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</si>
  <si>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</si>
  <si>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</si>
  <si>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</si>
  <si>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</si>
  <si>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</si>
  <si>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</si>
  <si>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</si>
  <si>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</si>
  <si>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</si>
  <si>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</si>
  <si>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</si>
  <si>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</si>
  <si>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</si>
  <si>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</si>
  <si>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</si>
  <si>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</si>
  <si>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</si>
  <si>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</si>
  <si>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</si>
  <si>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</si>
  <si>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</si>
  <si>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</si>
  <si>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</si>
  <si>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</si>
  <si>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</si>
  <si>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</si>
  <si>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</si>
  <si>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</si>
  <si>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</si>
  <si>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</si>
  <si>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</si>
  <si>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</si>
  <si>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</si>
  <si>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</si>
  <si>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</si>
  <si>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</si>
  <si>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</si>
  <si>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</si>
  <si>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</si>
  <si>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</si>
  <si>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</si>
  <si>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</si>
  <si>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</si>
  <si>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</si>
  <si>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</si>
  <si>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</si>
  <si>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</si>
  <si>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</si>
  <si>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</si>
  <si>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</si>
  <si>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</si>
  <si>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</si>
  <si>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</si>
  <si>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</si>
  <si>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</si>
  <si>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</si>
  <si>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</si>
  <si>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</si>
  <si>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</si>
  <si>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</si>
  <si>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</si>
  <si>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</si>
  <si>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</si>
  <si>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</si>
  <si>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</si>
  <si>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</si>
  <si>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</si>
  <si>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</si>
  <si>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</si>
  <si>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</si>
  <si>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</si>
  <si>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</si>
  <si>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</si>
  <si>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</si>
  <si>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</si>
  <si>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</si>
  <si>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</si>
  <si>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</si>
  <si>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</si>
  <si>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</si>
  <si>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</si>
  <si>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</si>
  <si>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</si>
  <si>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</si>
  <si>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</si>
  <si>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</si>
  <si>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</si>
  <si>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</si>
  <si>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</si>
  <si>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</si>
  <si>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</si>
  <si>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</si>
  <si>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</si>
  <si>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</si>
  <si>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</si>
  <si>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</si>
  <si>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</si>
  <si>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</si>
  <si>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</si>
  <si>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</si>
  <si>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</si>
  <si>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</si>
  <si>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</si>
  <si>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</si>
  <si>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</si>
  <si>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</si>
  <si>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</si>
  <si>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</si>
  <si>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</si>
  <si>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</si>
  <si>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</si>
  <si>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</si>
  <si>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</si>
  <si>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</si>
  <si>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</si>
  <si>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</si>
  <si>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</si>
  <si>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</si>
  <si>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</si>
  <si>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</si>
  <si>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</si>
  <si>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</si>
  <si>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</si>
  <si>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</si>
  <si>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</si>
  <si>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</si>
  <si>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</si>
  <si>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</si>
  <si>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</si>
  <si>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</si>
  <si>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</si>
  <si>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</si>
  <si>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</si>
  <si>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</si>
  <si>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</si>
  <si>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</si>
  <si>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</si>
  <si>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</si>
  <si>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</si>
  <si>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</si>
  <si>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</si>
  <si>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</si>
  <si>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</si>
  <si>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</si>
  <si>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</si>
  <si>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</si>
  <si>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</si>
  <si>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</si>
  <si>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</si>
  <si>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</si>
  <si>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</si>
  <si>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</si>
  <si>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</si>
  <si>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</si>
  <si>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</si>
  <si>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</si>
  <si>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</si>
  <si>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</si>
  <si>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</si>
  <si>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</si>
  <si>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</si>
  <si>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</si>
  <si>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</si>
  <si>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</si>
  <si>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</si>
  <si>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</si>
  <si>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</si>
  <si>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</si>
  <si>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</si>
  <si>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</si>
  <si>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</si>
  <si>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</si>
  <si>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</si>
  <si>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</si>
  <si>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</si>
  <si>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</si>
  <si>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</si>
  <si>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</si>
  <si>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</si>
  <si>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</si>
  <si>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</si>
  <si>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</si>
  <si>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</si>
  <si>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</si>
  <si>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</si>
  <si>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</si>
  <si>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</si>
  <si>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</si>
  <si>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</si>
  <si>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</si>
  <si>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</si>
  <si>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</si>
  <si>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</si>
  <si>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</si>
  <si>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</si>
  <si>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</si>
  <si>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</si>
  <si>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</si>
  <si>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</si>
  <si>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</si>
  <si>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</si>
  <si>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</si>
  <si>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</si>
  <si>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</si>
  <si>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</si>
  <si>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</si>
  <si>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</si>
  <si>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</si>
  <si>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</si>
  <si>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</si>
  <si>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</si>
  <si>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</si>
  <si>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</si>
  <si>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</si>
  <si>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</si>
  <si>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</si>
  <si>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</si>
  <si>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</si>
  <si>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</si>
  <si>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</si>
  <si>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</si>
  <si>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</si>
  <si>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</si>
  <si>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</si>
  <si>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</si>
  <si>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</si>
  <si>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</si>
  <si>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</si>
  <si>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</si>
  <si>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</si>
  <si>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</si>
  <si>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</si>
  <si>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</si>
  <si>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</si>
  <si>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</si>
  <si>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</si>
  <si>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</si>
  <si>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</si>
  <si>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</si>
  <si>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</si>
  <si>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</si>
  <si>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</si>
  <si>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</si>
  <si>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</si>
  <si>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</si>
  <si>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</si>
  <si>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</si>
  <si>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</si>
  <si>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</si>
  <si>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</si>
  <si>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</si>
  <si>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</si>
  <si>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</si>
  <si>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</si>
  <si>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</si>
  <si>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</si>
  <si>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</si>
  <si>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</si>
  <si>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</si>
  <si>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</si>
  <si>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</si>
  <si>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</si>
  <si>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</si>
  <si>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</si>
  <si>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</si>
  <si>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</si>
  <si>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</si>
  <si>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</si>
  <si>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</si>
  <si>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</si>
  <si>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</si>
  <si>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</si>
  <si>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</si>
  <si>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</si>
  <si>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</si>
  <si>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</si>
  <si>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</si>
  <si>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</si>
  <si>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</si>
  <si>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</si>
  <si>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</si>
  <si>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</si>
  <si>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</si>
  <si>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</si>
  <si>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</si>
  <si>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</si>
  <si>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</si>
  <si>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</si>
  <si>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</si>
  <si>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</si>
  <si>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</si>
  <si>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</si>
  <si>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</si>
  <si>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</si>
  <si>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</si>
  <si>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</si>
  <si>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</si>
  <si>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</si>
  <si>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</si>
  <si>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</si>
  <si>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</si>
  <si>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</si>
  <si>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</si>
  <si>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</si>
  <si>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</si>
  <si>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</si>
  <si>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</si>
  <si>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</si>
  <si>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</si>
  <si>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</si>
  <si>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</si>
  <si>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</si>
  <si>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</si>
  <si>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</si>
  <si>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</si>
  <si>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</si>
  <si>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</si>
  <si>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</si>
  <si>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</si>
  <si>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</si>
  <si>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</si>
  <si>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</si>
  <si>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</si>
  <si>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</si>
  <si>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</si>
  <si>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</si>
  <si>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</si>
  <si>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</si>
  <si>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</si>
  <si>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</si>
  <si>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</si>
  <si>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</si>
  <si>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</si>
  <si>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</si>
  <si>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</si>
  <si>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</si>
  <si>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</si>
  <si>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</si>
  <si>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</si>
  <si>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</si>
  <si>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</si>
  <si>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</si>
  <si>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</si>
  <si>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</si>
  <si>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</si>
  <si>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</si>
  <si>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</si>
  <si>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</si>
  <si>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</si>
  <si>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</si>
  <si>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</si>
  <si>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</si>
  <si>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</si>
  <si>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</si>
  <si>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</si>
  <si>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</si>
  <si>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</si>
  <si>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</si>
  <si>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</si>
  <si>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</si>
  <si>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</si>
  <si>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</si>
  <si>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</si>
  <si>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</si>
  <si>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</si>
  <si>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</si>
  <si>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</si>
  <si>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</si>
  <si>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</si>
  <si>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</si>
  <si>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</si>
  <si>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</si>
  <si>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</si>
  <si>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</si>
  <si>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</si>
  <si>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</si>
  <si>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</si>
  <si>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</si>
  <si>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</si>
  <si>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</si>
  <si>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</si>
  <si>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</si>
  <si>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</si>
  <si>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</si>
  <si>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</si>
  <si>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</si>
  <si>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</si>
  <si>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</si>
  <si>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</si>
  <si>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</si>
  <si>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</si>
  <si>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</si>
  <si>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</si>
  <si>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</si>
  <si>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</si>
  <si>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</si>
  <si>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</si>
  <si>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</si>
  <si>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</si>
  <si>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</si>
  <si>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</si>
  <si>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</si>
  <si>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</si>
  <si>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</si>
  <si>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</si>
  <si>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</si>
  <si>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</si>
  <si>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</si>
  <si>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</si>
  <si>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</si>
  <si>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</si>
  <si>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</si>
  <si>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</si>
  <si>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</si>
  <si>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</si>
  <si>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</si>
  <si>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</si>
  <si>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</si>
  <si>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</si>
  <si>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</si>
  <si>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</si>
  <si>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</si>
  <si>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</si>
  <si>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</si>
  <si>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</si>
  <si>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</si>
  <si>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</si>
  <si>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</si>
  <si>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</si>
  <si>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</si>
  <si>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</si>
  <si>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</si>
  <si>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</si>
  <si>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</si>
  <si>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</si>
  <si>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</si>
  <si>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</si>
  <si>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</si>
  <si>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</si>
  <si>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</si>
  <si>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</si>
  <si>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</si>
  <si>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</si>
  <si>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</si>
  <si>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</si>
  <si>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</si>
  <si>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</si>
  <si>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</si>
  <si>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</si>
  <si>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</si>
  <si>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</si>
  <si>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</si>
  <si>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</si>
  <si>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</si>
  <si>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</si>
  <si>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</si>
  <si>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</si>
  <si>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</si>
  <si>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</si>
  <si>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</si>
  <si>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</si>
  <si>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</si>
  <si>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</si>
  <si>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</si>
  <si>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</si>
  <si>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</si>
  <si>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</si>
  <si>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</si>
  <si>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</si>
  <si>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</si>
  <si>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</si>
  <si>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</si>
  <si>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</si>
  <si>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</si>
  <si>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</si>
  <si>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</si>
  <si>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</si>
  <si>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</si>
  <si>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</si>
  <si>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</si>
  <si>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</si>
  <si>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</si>
  <si>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</si>
  <si>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</si>
  <si>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</si>
  <si>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</si>
  <si>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</si>
  <si>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</si>
  <si>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</si>
  <si>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</si>
  <si>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</si>
  <si>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</si>
  <si>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</si>
  <si>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</si>
  <si>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</si>
  <si>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</si>
  <si>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</si>
  <si>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</si>
  <si>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</si>
  <si>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</si>
  <si>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</si>
  <si>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</si>
  <si>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</si>
  <si>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</si>
  <si>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</si>
  <si>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</si>
  <si>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</si>
  <si>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</si>
  <si>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</si>
  <si>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</si>
  <si>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</si>
  <si>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</si>
  <si>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</si>
  <si>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</si>
  <si>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</si>
  <si>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</si>
  <si>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</si>
  <si>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</si>
  <si>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</si>
  <si>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</si>
  <si>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</si>
  <si>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</si>
  <si>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</si>
  <si>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</si>
  <si>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</si>
  <si>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</si>
  <si>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</si>
  <si>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</si>
  <si>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</si>
  <si>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</si>
  <si>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</si>
  <si>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</si>
  <si>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</si>
  <si>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</si>
  <si>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</si>
  <si>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</si>
  <si>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</si>
  <si>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</si>
  <si>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</si>
  <si>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</si>
  <si>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</si>
  <si>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</si>
  <si>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</si>
  <si>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</si>
  <si>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</si>
  <si>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</si>
  <si>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</si>
  <si>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</si>
  <si>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</si>
  <si>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</si>
  <si>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</si>
  <si>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</si>
  <si>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</si>
  <si>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</si>
  <si>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</si>
  <si>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</si>
  <si>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</si>
  <si>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</si>
  <si>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</si>
  <si>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</si>
  <si>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</si>
  <si>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</si>
  <si>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</si>
  <si>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</si>
  <si>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</si>
  <si>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</si>
  <si>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</si>
  <si>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</si>
  <si>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</si>
  <si>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</si>
  <si>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</si>
  <si>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</si>
  <si>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</si>
  <si>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</si>
  <si>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</si>
  <si>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</si>
  <si>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</si>
  <si>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</si>
  <si>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</si>
  <si>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</si>
  <si>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</si>
  <si>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</si>
  <si>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</si>
  <si>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</si>
  <si>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</si>
  <si>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</si>
  <si>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</si>
  <si>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</si>
  <si>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</si>
  <si>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</si>
  <si>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</si>
  <si>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</si>
  <si>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</si>
  <si>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</si>
  <si>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</si>
  <si>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</si>
  <si>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</si>
  <si>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</si>
  <si>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</si>
  <si>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</si>
  <si>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</si>
  <si>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</si>
  <si>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</si>
  <si>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</si>
  <si>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</si>
  <si>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</si>
  <si>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</si>
  <si>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</si>
  <si>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</si>
  <si>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</si>
  <si>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</si>
  <si>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</si>
  <si>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</si>
  <si>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</si>
  <si>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</si>
  <si>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</si>
  <si>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</si>
  <si>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</si>
  <si>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</si>
  <si>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</si>
  <si>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</si>
  <si>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</si>
  <si>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</si>
  <si>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</si>
  <si>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</si>
  <si>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</si>
  <si>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</si>
  <si>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</si>
  <si>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</si>
  <si>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</si>
  <si>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</si>
  <si>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</si>
  <si>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</si>
  <si>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</si>
  <si>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</si>
  <si>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</si>
  <si>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</si>
  <si>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</si>
  <si>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</si>
  <si>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</si>
  <si>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</si>
  <si>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</si>
  <si>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</si>
  <si>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</si>
  <si>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</si>
  <si>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</si>
  <si>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</si>
  <si>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</si>
  <si>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</si>
  <si>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</si>
  <si>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</si>
  <si>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</si>
  <si>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</si>
  <si>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</si>
  <si>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</si>
  <si>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</si>
  <si>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</si>
  <si>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</si>
  <si>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</si>
  <si>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</si>
  <si>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</si>
  <si>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</si>
  <si>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</si>
  <si>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</si>
  <si>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</si>
  <si>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</si>
  <si>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</si>
  <si>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</si>
  <si>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</si>
  <si>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</si>
  <si>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</si>
  <si>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</si>
  <si>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</si>
  <si>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</si>
  <si>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</si>
  <si>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</si>
  <si>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</si>
  <si>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</si>
  <si>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</si>
  <si>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</si>
  <si>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</si>
  <si>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</si>
  <si>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</si>
  <si>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</si>
  <si>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</si>
  <si>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</si>
  <si>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</si>
  <si>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</si>
  <si>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</si>
  <si>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</si>
  <si>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</si>
  <si>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</si>
  <si>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</si>
  <si>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</si>
  <si>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</si>
  <si>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</si>
  <si>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</si>
  <si>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</si>
  <si>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</si>
  <si>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</si>
  <si>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</si>
  <si>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</si>
  <si>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</si>
  <si>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</si>
  <si>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</si>
  <si>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</si>
  <si>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</si>
  <si>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</si>
  <si>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</si>
  <si>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</si>
  <si>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</si>
  <si>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</si>
  <si>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</si>
  <si>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</si>
  <si>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</si>
  <si>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</si>
  <si>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</si>
  <si>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</si>
  <si>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</si>
  <si>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</si>
  <si>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</si>
  <si>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</si>
  <si>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</si>
  <si>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</si>
  <si>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</si>
  <si>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</si>
  <si>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</si>
  <si>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</si>
  <si>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</si>
  <si>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</si>
  <si>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</si>
  <si>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</si>
  <si>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</si>
  <si>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</si>
  <si>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</si>
  <si>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</si>
  <si>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</si>
  <si>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</si>
  <si>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</si>
  <si>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</si>
  <si>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</si>
  <si>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</si>
  <si>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</si>
  <si>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</si>
  <si>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</si>
  <si>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</si>
  <si>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</si>
  <si>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</si>
  <si>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</si>
  <si>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</si>
  <si>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</si>
  <si>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</si>
  <si>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</si>
  <si>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</si>
  <si>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</si>
  <si>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</si>
  <si>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</si>
  <si>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</si>
  <si>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</si>
  <si>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</si>
  <si>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</si>
  <si>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</si>
  <si>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</si>
  <si>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</si>
  <si>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</si>
  <si>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</si>
  <si>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</si>
  <si>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</si>
  <si>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</si>
  <si>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</si>
  <si>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</si>
  <si>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</si>
  <si>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</si>
  <si>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</si>
  <si>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</si>
  <si>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</si>
  <si>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</si>
  <si>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</si>
  <si>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</si>
  <si>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</si>
  <si>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</si>
  <si>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</si>
  <si>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</si>
  <si>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</si>
  <si>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</si>
  <si>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</si>
  <si>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</si>
  <si>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</si>
  <si>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</si>
  <si>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</si>
  <si>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</si>
  <si>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</si>
  <si>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</si>
  <si>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</si>
  <si>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</si>
  <si>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</si>
  <si>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</si>
  <si>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</si>
  <si>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</si>
  <si>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</si>
  <si>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</si>
  <si>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</si>
  <si>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</si>
  <si>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</si>
  <si>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</si>
  <si>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</si>
  <si>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</si>
  <si>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</si>
  <si>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</si>
  <si>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</si>
  <si>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</si>
  <si>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</si>
  <si>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</si>
  <si>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</si>
  <si>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</si>
  <si>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</si>
  <si>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</si>
  <si>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</si>
  <si>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</si>
  <si>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</si>
  <si>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</si>
  <si>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</si>
  <si>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</si>
  <si>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</si>
  <si>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</si>
  <si>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</si>
  <si>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</si>
  <si>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</si>
  <si>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</si>
  <si>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</si>
  <si>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</si>
  <si>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</si>
  <si>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</si>
  <si>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</si>
  <si>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</si>
  <si>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</si>
  <si>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</si>
  <si>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</si>
  <si>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</si>
  <si>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</si>
  <si>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</si>
  <si>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</si>
  <si>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</si>
  <si>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</si>
  <si>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</si>
  <si>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</si>
  <si>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</si>
  <si>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</si>
  <si>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</si>
  <si>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</si>
  <si>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</si>
  <si>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</si>
  <si>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</si>
  <si>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</si>
  <si>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</si>
  <si>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</si>
  <si>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</si>
  <si>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</si>
  <si>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</si>
  <si>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</si>
  <si>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</si>
  <si>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</si>
  <si>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</si>
  <si>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</si>
  <si>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</si>
  <si>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</si>
  <si>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</si>
  <si>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</si>
  <si>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</si>
  <si>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</si>
  <si>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</si>
  <si>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</si>
  <si>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</si>
  <si>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</si>
  <si>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</si>
  <si>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</si>
  <si>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</si>
  <si>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</si>
  <si>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</si>
  <si>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</si>
  <si>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</si>
  <si>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</si>
  <si>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</si>
  <si>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</si>
  <si>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</si>
  <si>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</si>
  <si>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</si>
  <si>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</si>
  <si>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</si>
  <si>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</si>
  <si>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</si>
  <si>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</si>
  <si>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</si>
  <si>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</si>
  <si>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</si>
  <si>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</si>
  <si>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</si>
  <si>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</si>
  <si>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</si>
  <si>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</si>
  <si>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</si>
  <si>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</si>
  <si>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</si>
  <si>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</si>
  <si>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</si>
  <si>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</si>
  <si>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</si>
  <si>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</si>
  <si>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</si>
  <si>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</si>
  <si>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</si>
  <si>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</si>
  <si>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</si>
  <si>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</si>
  <si>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</si>
  <si>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</si>
  <si>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</si>
  <si>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</si>
  <si>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</si>
  <si>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</si>
  <si>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</si>
  <si>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</si>
  <si>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</si>
  <si>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</si>
  <si>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</si>
  <si>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</si>
  <si>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</si>
  <si>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</si>
  <si>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</si>
  <si>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</si>
  <si>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</si>
  <si>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</si>
  <si>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</si>
  <si>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</si>
  <si>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</si>
  <si>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</si>
  <si>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</si>
  <si>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</si>
  <si>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</si>
  <si>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</si>
  <si>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</si>
  <si>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</si>
  <si>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</si>
  <si>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</si>
  <si>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</si>
  <si>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</si>
  <si>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</si>
  <si>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</si>
  <si>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</si>
  <si>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</si>
  <si>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</si>
  <si>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</si>
  <si>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</si>
  <si>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</si>
  <si>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</si>
  <si>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</si>
  <si>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</si>
  <si>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</si>
  <si>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</si>
  <si>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</si>
  <si>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</si>
  <si>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</si>
  <si>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</si>
  <si>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</si>
  <si>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</si>
  <si>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</si>
  <si>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</si>
  <si>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</si>
  <si>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</si>
  <si>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</si>
  <si>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</si>
  <si>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</si>
  <si>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</si>
  <si>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</si>
  <si>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</si>
  <si>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</si>
  <si>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</si>
  <si>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</si>
  <si>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</si>
  <si>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</si>
  <si>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</si>
  <si>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</si>
  <si>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</si>
  <si>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</si>
  <si>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</si>
  <si>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</si>
  <si>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</si>
  <si>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</si>
  <si>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</si>
  <si>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</si>
  <si>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</si>
  <si>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</si>
  <si>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</si>
  <si>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</si>
  <si>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</si>
  <si>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</si>
  <si>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</si>
  <si>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</si>
  <si>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</si>
  <si>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</si>
  <si>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</si>
  <si>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</si>
  <si>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</si>
  <si>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</si>
  <si>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</si>
  <si>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</si>
  <si>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</si>
  <si>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</si>
  <si>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</si>
  <si>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</si>
  <si>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</si>
  <si>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</si>
  <si>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</si>
  <si>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</si>
  <si>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</si>
  <si>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</si>
  <si>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</si>
  <si>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</si>
  <si>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Column Name</t>
  </si>
  <si>
    <t>Missing Values</t>
  </si>
  <si>
    <t>User ID</t>
  </si>
  <si>
    <t>COUNT</t>
  </si>
  <si>
    <t>Duplicate User ID Check</t>
  </si>
  <si>
    <t>Count of user_id</t>
  </si>
  <si>
    <t>Grand Total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</si>
  <si>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</si>
  <si>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</si>
  <si>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</si>
  <si>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</si>
  <si>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</si>
  <si>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</si>
  <si>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</si>
  <si>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</si>
  <si>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</si>
  <si>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</si>
  <si>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</si>
  <si>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</si>
  <si>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Sum of converted_to_paid</t>
  </si>
  <si>
    <t>(blank)</t>
  </si>
  <si>
    <t>t-Test: Paired Two Sample for Means</t>
  </si>
  <si>
    <t> 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</si>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</sst>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rlito"/>
      <charset val="1"/>
    </font>
    <font>
      <sz val="11"/>
      <name val="Carlito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i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55E7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/>
    <xf numFmtId="14" fontId="2" fillId="0" borderId="0" xfId="0" applyNumberFormat="1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pivotButton="1"/>
    <xf numFmtId="0" fontId="0" fillId="0" borderId="0" xfId="0" applyNumberFormat="1"/>
    <xf numFmtId="10" fontId="4" fillId="0" borderId="0" xfId="0" applyNumberFormat="1" applyFont="1" applyAlignment="1">
      <alignment wrapText="1"/>
    </xf>
    <xf numFmtId="0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wrapText="1"/>
    </xf>
    <xf numFmtId="0" fontId="3" fillId="0" borderId="0" xfId="0" applyFont="1"/>
    <xf numFmtId="10" fontId="0" fillId="0" borderId="0" xfId="0" applyNumberForma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94342824077" createdVersion="8" refreshedVersion="8" minRefreshableVersion="3" recordCount="1408" xr:uid="{79A4CD8D-B7C9-4F5A-8169-DC04E4827DBD}">
  <cacheSource type="worksheet">
    <worksheetSource ref="A1:P1409" sheet="Raw_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x v="0"/>
    <x v="0"/>
    <x v="0"/>
    <s v="Basic"/>
    <n v="0"/>
    <n v="0"/>
    <n v="0"/>
    <n v="0"/>
    <n v="0"/>
    <n v="0"/>
    <n v="0"/>
    <m/>
    <n v="45.7"/>
  </r>
  <r>
    <x v="1"/>
    <d v="2025-03-08T00:00:00"/>
    <x v="0"/>
    <x v="1"/>
    <x v="1"/>
    <x v="1"/>
    <s v="Free"/>
    <n v="1"/>
    <n v="0"/>
    <n v="0"/>
    <n v="0"/>
    <n v="0"/>
    <n v="0"/>
    <n v="0"/>
    <m/>
    <n v="48.6"/>
  </r>
  <r>
    <x v="2"/>
    <d v="2025-04-24T00:00:00"/>
    <x v="0"/>
    <x v="2"/>
    <x v="1"/>
    <x v="2"/>
    <s v="Premium"/>
    <n v="1"/>
    <n v="0"/>
    <n v="0"/>
    <n v="0"/>
    <n v="0"/>
    <n v="1"/>
    <n v="0"/>
    <m/>
    <n v="35.4"/>
  </r>
  <r>
    <x v="3"/>
    <d v="2025-05-04T00:00:00"/>
    <x v="0"/>
    <x v="3"/>
    <x v="1"/>
    <x v="0"/>
    <s v="Basic"/>
    <n v="1"/>
    <n v="0"/>
    <n v="0"/>
    <n v="0"/>
    <n v="0"/>
    <n v="0"/>
    <n v="0"/>
    <m/>
    <n v="64.599999999999994"/>
  </r>
  <r>
    <x v="4"/>
    <d v="2025-02-12T00:00:00"/>
    <x v="0"/>
    <x v="0"/>
    <x v="2"/>
    <x v="1"/>
    <s v="Free"/>
    <n v="0"/>
    <n v="0"/>
    <n v="0"/>
    <n v="0"/>
    <n v="0"/>
    <n v="0"/>
    <n v="0"/>
    <m/>
    <n v="66.599999999999994"/>
  </r>
  <r>
    <x v="5"/>
    <d v="2025-01-28T00:00:00"/>
    <x v="0"/>
    <x v="2"/>
    <x v="1"/>
    <x v="1"/>
    <s v="Premium"/>
    <n v="1"/>
    <n v="0"/>
    <n v="0"/>
    <n v="0"/>
    <n v="0"/>
    <n v="0"/>
    <n v="0"/>
    <m/>
    <n v="40.799999999999997"/>
  </r>
  <r>
    <x v="6"/>
    <d v="2025-04-08T00:00:00"/>
    <x v="0"/>
    <x v="2"/>
    <x v="1"/>
    <x v="2"/>
    <s v="Basic"/>
    <n v="1"/>
    <n v="1"/>
    <n v="0"/>
    <n v="0"/>
    <n v="0"/>
    <n v="0"/>
    <n v="0"/>
    <m/>
    <n v="57.1"/>
  </r>
  <r>
    <x v="7"/>
    <d v="2025-05-17T00:00:00"/>
    <x v="0"/>
    <x v="3"/>
    <x v="1"/>
    <x v="2"/>
    <s v="Free"/>
    <n v="0"/>
    <n v="0"/>
    <n v="0"/>
    <n v="0"/>
    <n v="0"/>
    <n v="0"/>
    <n v="0"/>
    <m/>
    <n v="36.4"/>
  </r>
  <r>
    <x v="8"/>
    <d v="2025-02-23T00:00:00"/>
    <x v="0"/>
    <x v="3"/>
    <x v="2"/>
    <x v="3"/>
    <s v="Basic"/>
    <n v="0"/>
    <n v="0"/>
    <n v="0"/>
    <n v="0"/>
    <n v="0"/>
    <n v="0"/>
    <n v="0"/>
    <m/>
    <n v="55.4"/>
  </r>
  <r>
    <x v="9"/>
    <d v="2025-05-29T00:00:00"/>
    <x v="0"/>
    <x v="1"/>
    <x v="0"/>
    <x v="4"/>
    <s v="Free"/>
    <n v="1"/>
    <n v="0"/>
    <n v="0"/>
    <n v="0"/>
    <n v="0"/>
    <n v="0"/>
    <n v="0"/>
    <m/>
    <n v="57.3"/>
  </r>
  <r>
    <x v="10"/>
    <d v="2025-04-30T00:00:00"/>
    <x v="0"/>
    <x v="2"/>
    <x v="1"/>
    <x v="2"/>
    <s v="Basic"/>
    <n v="1"/>
    <n v="1"/>
    <n v="1"/>
    <n v="0"/>
    <n v="0"/>
    <n v="0"/>
    <n v="0"/>
    <m/>
    <n v="63.6"/>
  </r>
  <r>
    <x v="11"/>
    <d v="2025-03-16T00:00:00"/>
    <x v="0"/>
    <x v="2"/>
    <x v="1"/>
    <x v="4"/>
    <s v="Premium"/>
    <n v="1"/>
    <n v="1"/>
    <n v="1"/>
    <n v="0"/>
    <n v="0"/>
    <n v="1"/>
    <n v="0"/>
    <m/>
    <n v="80.400000000000006"/>
  </r>
  <r>
    <x v="12"/>
    <d v="2025-02-07T00:00:00"/>
    <x v="0"/>
    <x v="3"/>
    <x v="0"/>
    <x v="0"/>
    <s v="Basic"/>
    <n v="1"/>
    <n v="0"/>
    <n v="0"/>
    <n v="0"/>
    <n v="0"/>
    <n v="0"/>
    <n v="0"/>
    <m/>
    <n v="62.4"/>
  </r>
  <r>
    <x v="13"/>
    <d v="2025-03-02T00:00:00"/>
    <x v="0"/>
    <x v="1"/>
    <x v="1"/>
    <x v="4"/>
    <s v="Basic"/>
    <n v="1"/>
    <n v="0"/>
    <n v="0"/>
    <n v="0"/>
    <n v="0"/>
    <n v="0"/>
    <n v="0"/>
    <m/>
    <n v="82.4"/>
  </r>
  <r>
    <x v="14"/>
    <d v="2025-05-30T00:00:00"/>
    <x v="0"/>
    <x v="3"/>
    <x v="1"/>
    <x v="1"/>
    <s v="Basic"/>
    <n v="0"/>
    <n v="0"/>
    <n v="0"/>
    <n v="0"/>
    <n v="0"/>
    <n v="0"/>
    <n v="0"/>
    <m/>
    <n v="61.2"/>
  </r>
  <r>
    <x v="15"/>
    <d v="2025-03-25T00:00:00"/>
    <x v="0"/>
    <x v="3"/>
    <x v="1"/>
    <x v="4"/>
    <s v="Basic"/>
    <n v="1"/>
    <n v="0"/>
    <n v="0"/>
    <n v="0"/>
    <n v="0"/>
    <n v="0"/>
    <n v="0"/>
    <m/>
    <n v="68.900000000000006"/>
  </r>
  <r>
    <x v="16"/>
    <d v="2025-03-27T00:00:00"/>
    <x v="0"/>
    <x v="2"/>
    <x v="0"/>
    <x v="2"/>
    <s v="Free"/>
    <n v="1"/>
    <n v="1"/>
    <n v="1"/>
    <n v="0"/>
    <n v="0"/>
    <n v="0"/>
    <n v="0"/>
    <m/>
    <n v="71.900000000000006"/>
  </r>
  <r>
    <x v="17"/>
    <d v="2025-05-28T00:00:00"/>
    <x v="0"/>
    <x v="3"/>
    <x v="0"/>
    <x v="2"/>
    <s v="Free"/>
    <n v="0"/>
    <n v="0"/>
    <n v="0"/>
    <n v="0"/>
    <n v="0"/>
    <n v="0"/>
    <n v="0"/>
    <m/>
    <n v="50.5"/>
  </r>
  <r>
    <x v="18"/>
    <d v="2025-02-15T00:00:00"/>
    <x v="0"/>
    <x v="0"/>
    <x v="0"/>
    <x v="2"/>
    <s v="Basic"/>
    <n v="0"/>
    <n v="0"/>
    <n v="0"/>
    <n v="0"/>
    <n v="0"/>
    <n v="0"/>
    <n v="0"/>
    <m/>
    <n v="49.3"/>
  </r>
  <r>
    <x v="19"/>
    <d v="2025-05-05T00:00:00"/>
    <x v="0"/>
    <x v="1"/>
    <x v="0"/>
    <x v="1"/>
    <s v="Basic"/>
    <n v="0"/>
    <n v="0"/>
    <n v="0"/>
    <n v="0"/>
    <n v="0"/>
    <n v="2"/>
    <n v="0"/>
    <m/>
    <n v="60.9"/>
  </r>
  <r>
    <x v="20"/>
    <d v="2025-04-13T00:00:00"/>
    <x v="0"/>
    <x v="2"/>
    <x v="1"/>
    <x v="4"/>
    <s v="Free"/>
    <n v="1"/>
    <n v="0"/>
    <n v="0"/>
    <n v="0"/>
    <n v="0"/>
    <n v="0"/>
    <n v="0"/>
    <m/>
    <n v="62.7"/>
  </r>
  <r>
    <x v="21"/>
    <d v="2025-05-07T00:00:00"/>
    <x v="0"/>
    <x v="0"/>
    <x v="0"/>
    <x v="2"/>
    <s v="Free"/>
    <n v="0"/>
    <n v="0"/>
    <n v="0"/>
    <n v="0"/>
    <n v="0"/>
    <n v="0"/>
    <n v="0"/>
    <m/>
    <n v="52.7"/>
  </r>
  <r>
    <x v="22"/>
    <d v="2025-05-25T00:00:00"/>
    <x v="0"/>
    <x v="0"/>
    <x v="0"/>
    <x v="1"/>
    <s v="Free"/>
    <n v="0"/>
    <n v="0"/>
    <n v="0"/>
    <n v="0"/>
    <n v="0"/>
    <n v="0"/>
    <n v="0"/>
    <m/>
    <n v="54"/>
  </r>
  <r>
    <x v="23"/>
    <d v="2025-04-01T00:00:00"/>
    <x v="0"/>
    <x v="2"/>
    <x v="1"/>
    <x v="2"/>
    <s v="Premium"/>
    <n v="1"/>
    <n v="1"/>
    <n v="0"/>
    <n v="0"/>
    <n v="0"/>
    <n v="0"/>
    <n v="0"/>
    <m/>
    <n v="51.6"/>
  </r>
  <r>
    <x v="24"/>
    <d v="2025-02-22T00:00:00"/>
    <x v="0"/>
    <x v="0"/>
    <x v="1"/>
    <x v="2"/>
    <s v="Premium"/>
    <n v="0"/>
    <n v="0"/>
    <n v="0"/>
    <n v="0"/>
    <n v="0"/>
    <n v="2"/>
    <n v="0"/>
    <m/>
    <n v="66.900000000000006"/>
  </r>
  <r>
    <x v="25"/>
    <d v="2025-03-24T00:00:00"/>
    <x v="0"/>
    <x v="2"/>
    <x v="1"/>
    <x v="1"/>
    <s v="Basic"/>
    <n v="0"/>
    <n v="0"/>
    <n v="0"/>
    <n v="0"/>
    <n v="0"/>
    <n v="0"/>
    <n v="0"/>
    <m/>
    <n v="67.400000000000006"/>
  </r>
  <r>
    <x v="26"/>
    <d v="2025-02-13T00:00:00"/>
    <x v="0"/>
    <x v="0"/>
    <x v="1"/>
    <x v="1"/>
    <s v="Free"/>
    <n v="0"/>
    <n v="0"/>
    <n v="0"/>
    <n v="0"/>
    <n v="0"/>
    <n v="0"/>
    <n v="0"/>
    <m/>
    <n v="58.8"/>
  </r>
  <r>
    <x v="27"/>
    <d v="2025-05-30T00:00:00"/>
    <x v="0"/>
    <x v="3"/>
    <x v="1"/>
    <x v="1"/>
    <s v="Free"/>
    <n v="1"/>
    <n v="0"/>
    <n v="0"/>
    <n v="0"/>
    <n v="0"/>
    <n v="0"/>
    <n v="0"/>
    <m/>
    <n v="73.8"/>
  </r>
  <r>
    <x v="28"/>
    <d v="2025-01-20T00:00:00"/>
    <x v="0"/>
    <x v="2"/>
    <x v="2"/>
    <x v="1"/>
    <s v="Basic"/>
    <n v="0"/>
    <n v="0"/>
    <n v="0"/>
    <n v="0"/>
    <n v="0"/>
    <n v="0"/>
    <n v="0"/>
    <m/>
    <n v="60.1"/>
  </r>
  <r>
    <x v="29"/>
    <d v="2025-05-19T00:00:00"/>
    <x v="0"/>
    <x v="2"/>
    <x v="1"/>
    <x v="4"/>
    <s v="Basic"/>
    <n v="1"/>
    <n v="1"/>
    <n v="1"/>
    <n v="0"/>
    <n v="0"/>
    <n v="0"/>
    <n v="0"/>
    <m/>
    <n v="41"/>
  </r>
  <r>
    <x v="30"/>
    <d v="2025-02-18T00:00:00"/>
    <x v="0"/>
    <x v="3"/>
    <x v="1"/>
    <x v="1"/>
    <s v="Basic"/>
    <n v="1"/>
    <n v="0"/>
    <n v="0"/>
    <n v="0"/>
    <n v="0"/>
    <n v="0"/>
    <n v="0"/>
    <m/>
    <n v="80.3"/>
  </r>
  <r>
    <x v="31"/>
    <d v="2025-02-13T00:00:00"/>
    <x v="0"/>
    <x v="2"/>
    <x v="1"/>
    <x v="1"/>
    <s v="Free"/>
    <n v="0"/>
    <n v="0"/>
    <n v="0"/>
    <n v="0"/>
    <n v="0"/>
    <n v="0"/>
    <n v="0"/>
    <m/>
    <n v="67.599999999999994"/>
  </r>
  <r>
    <x v="32"/>
    <d v="2025-03-08T00:00:00"/>
    <x v="0"/>
    <x v="2"/>
    <x v="0"/>
    <x v="3"/>
    <s v="Premium"/>
    <n v="0"/>
    <n v="0"/>
    <n v="0"/>
    <n v="0"/>
    <n v="0"/>
    <n v="0"/>
    <n v="0"/>
    <m/>
    <n v="64"/>
  </r>
  <r>
    <x v="33"/>
    <d v="2025-01-11T00:00:00"/>
    <x v="0"/>
    <x v="0"/>
    <x v="1"/>
    <x v="2"/>
    <s v="Free"/>
    <n v="1"/>
    <n v="1"/>
    <n v="0"/>
    <n v="0"/>
    <n v="0"/>
    <n v="0"/>
    <n v="0"/>
    <m/>
    <n v="27.2"/>
  </r>
  <r>
    <x v="34"/>
    <d v="2025-02-12T00:00:00"/>
    <x v="0"/>
    <x v="0"/>
    <x v="0"/>
    <x v="1"/>
    <s v="Free"/>
    <n v="1"/>
    <n v="0"/>
    <n v="0"/>
    <n v="0"/>
    <n v="0"/>
    <n v="0"/>
    <n v="0"/>
    <m/>
    <n v="85.4"/>
  </r>
  <r>
    <x v="35"/>
    <d v="2025-04-13T00:00:00"/>
    <x v="0"/>
    <x v="2"/>
    <x v="0"/>
    <x v="1"/>
    <s v="Basic"/>
    <n v="1"/>
    <n v="0"/>
    <n v="0"/>
    <n v="0"/>
    <n v="0"/>
    <n v="0"/>
    <n v="0"/>
    <m/>
    <n v="75.900000000000006"/>
  </r>
  <r>
    <x v="36"/>
    <d v="2025-05-09T00:00:00"/>
    <x v="0"/>
    <x v="2"/>
    <x v="1"/>
    <x v="1"/>
    <s v="Premium"/>
    <n v="1"/>
    <n v="0"/>
    <n v="0"/>
    <n v="0"/>
    <n v="0"/>
    <n v="1"/>
    <n v="0"/>
    <m/>
    <n v="34.799999999999997"/>
  </r>
  <r>
    <x v="37"/>
    <d v="2025-01-20T00:00:00"/>
    <x v="0"/>
    <x v="2"/>
    <x v="1"/>
    <x v="1"/>
    <s v="Free"/>
    <n v="1"/>
    <n v="1"/>
    <n v="1"/>
    <n v="0"/>
    <n v="0"/>
    <n v="3"/>
    <n v="0"/>
    <m/>
    <n v="48.9"/>
  </r>
  <r>
    <x v="38"/>
    <d v="2025-05-13T00:00:00"/>
    <x v="0"/>
    <x v="2"/>
    <x v="1"/>
    <x v="0"/>
    <s v="Premium"/>
    <n v="1"/>
    <n v="0"/>
    <n v="0"/>
    <n v="0"/>
    <n v="0"/>
    <n v="0"/>
    <n v="0"/>
    <m/>
    <n v="41.5"/>
  </r>
  <r>
    <x v="39"/>
    <d v="2025-04-07T00:00:00"/>
    <x v="0"/>
    <x v="0"/>
    <x v="0"/>
    <x v="1"/>
    <s v="Basic"/>
    <n v="1"/>
    <n v="0"/>
    <n v="0"/>
    <n v="0"/>
    <n v="0"/>
    <n v="0"/>
    <n v="0"/>
    <m/>
    <n v="51.5"/>
  </r>
  <r>
    <x v="40"/>
    <d v="2025-03-31T00:00:00"/>
    <x v="0"/>
    <x v="0"/>
    <x v="0"/>
    <x v="1"/>
    <s v="Free"/>
    <n v="0"/>
    <n v="0"/>
    <n v="0"/>
    <n v="0"/>
    <n v="0"/>
    <n v="0"/>
    <n v="0"/>
    <m/>
    <n v="53.2"/>
  </r>
  <r>
    <x v="41"/>
    <d v="2025-01-25T00:00:00"/>
    <x v="0"/>
    <x v="2"/>
    <x v="1"/>
    <x v="0"/>
    <s v="Premium"/>
    <n v="0"/>
    <n v="0"/>
    <n v="0"/>
    <n v="0"/>
    <n v="0"/>
    <n v="0"/>
    <n v="0"/>
    <m/>
    <n v="55.6"/>
  </r>
  <r>
    <x v="42"/>
    <d v="2025-02-14T00:00:00"/>
    <x v="0"/>
    <x v="3"/>
    <x v="0"/>
    <x v="1"/>
    <s v="Free"/>
    <n v="0"/>
    <n v="0"/>
    <n v="0"/>
    <n v="0"/>
    <n v="0"/>
    <n v="0"/>
    <n v="0"/>
    <m/>
    <n v="73"/>
  </r>
  <r>
    <x v="43"/>
    <d v="2025-02-27T00:00:00"/>
    <x v="0"/>
    <x v="2"/>
    <x v="1"/>
    <x v="0"/>
    <s v="Free"/>
    <n v="1"/>
    <n v="0"/>
    <n v="0"/>
    <n v="0"/>
    <n v="0"/>
    <n v="0"/>
    <n v="0"/>
    <m/>
    <n v="65"/>
  </r>
  <r>
    <x v="44"/>
    <d v="2025-03-28T00:00:00"/>
    <x v="0"/>
    <x v="2"/>
    <x v="1"/>
    <x v="4"/>
    <s v="Free"/>
    <n v="1"/>
    <n v="0"/>
    <n v="0"/>
    <n v="0"/>
    <n v="0"/>
    <n v="4"/>
    <n v="0"/>
    <m/>
    <n v="56.3"/>
  </r>
  <r>
    <x v="45"/>
    <d v="2025-05-25T00:00:00"/>
    <x v="0"/>
    <x v="2"/>
    <x v="1"/>
    <x v="3"/>
    <s v="Premium"/>
    <n v="1"/>
    <n v="0"/>
    <n v="0"/>
    <n v="0"/>
    <n v="0"/>
    <n v="0"/>
    <n v="0"/>
    <m/>
    <n v="62.4"/>
  </r>
  <r>
    <x v="46"/>
    <d v="2025-05-05T00:00:00"/>
    <x v="0"/>
    <x v="1"/>
    <x v="0"/>
    <x v="1"/>
    <s v="Free"/>
    <n v="1"/>
    <n v="1"/>
    <n v="1"/>
    <n v="0"/>
    <n v="0"/>
    <n v="0"/>
    <n v="0"/>
    <m/>
    <n v="58.1"/>
  </r>
  <r>
    <x v="47"/>
    <d v="2025-05-16T00:00:00"/>
    <x v="0"/>
    <x v="0"/>
    <x v="1"/>
    <x v="1"/>
    <s v="Free"/>
    <n v="1"/>
    <n v="1"/>
    <n v="1"/>
    <n v="0"/>
    <n v="0"/>
    <n v="0"/>
    <n v="0"/>
    <m/>
    <n v="80.8"/>
  </r>
  <r>
    <x v="48"/>
    <d v="2025-01-08T00:00:00"/>
    <x v="0"/>
    <x v="0"/>
    <x v="1"/>
    <x v="4"/>
    <s v="Free"/>
    <n v="1"/>
    <n v="1"/>
    <n v="0"/>
    <n v="0"/>
    <n v="0"/>
    <n v="0"/>
    <n v="0"/>
    <m/>
    <n v="42.9"/>
  </r>
  <r>
    <x v="49"/>
    <d v="2025-01-06T00:00:00"/>
    <x v="0"/>
    <x v="1"/>
    <x v="0"/>
    <x v="2"/>
    <s v="Free"/>
    <n v="1"/>
    <n v="0"/>
    <n v="0"/>
    <n v="0"/>
    <n v="0"/>
    <n v="0"/>
    <n v="0"/>
    <m/>
    <n v="52.7"/>
  </r>
  <r>
    <x v="50"/>
    <d v="2025-01-12T00:00:00"/>
    <x v="0"/>
    <x v="0"/>
    <x v="1"/>
    <x v="4"/>
    <s v="Basic"/>
    <n v="0"/>
    <n v="0"/>
    <n v="0"/>
    <n v="0"/>
    <n v="0"/>
    <n v="0"/>
    <n v="0"/>
    <m/>
    <n v="46.9"/>
  </r>
  <r>
    <x v="51"/>
    <d v="2025-02-14T00:00:00"/>
    <x v="0"/>
    <x v="2"/>
    <x v="0"/>
    <x v="0"/>
    <s v="Premium"/>
    <n v="1"/>
    <n v="0"/>
    <n v="0"/>
    <n v="0"/>
    <n v="0"/>
    <n v="0"/>
    <n v="0"/>
    <m/>
    <n v="63"/>
  </r>
  <r>
    <x v="52"/>
    <d v="2025-03-10T00:00:00"/>
    <x v="0"/>
    <x v="3"/>
    <x v="2"/>
    <x v="1"/>
    <s v="Free"/>
    <n v="0"/>
    <n v="0"/>
    <n v="0"/>
    <n v="0"/>
    <n v="0"/>
    <n v="0"/>
    <n v="0"/>
    <m/>
    <n v="53.6"/>
  </r>
  <r>
    <x v="53"/>
    <d v="2025-04-20T00:00:00"/>
    <x v="0"/>
    <x v="1"/>
    <x v="0"/>
    <x v="1"/>
    <s v="Basic"/>
    <n v="0"/>
    <n v="0"/>
    <n v="0"/>
    <n v="0"/>
    <n v="0"/>
    <n v="0"/>
    <n v="0"/>
    <m/>
    <n v="49.6"/>
  </r>
  <r>
    <x v="54"/>
    <d v="2025-02-19T00:00:00"/>
    <x v="0"/>
    <x v="3"/>
    <x v="1"/>
    <x v="1"/>
    <s v="Free"/>
    <n v="0"/>
    <n v="0"/>
    <n v="0"/>
    <n v="0"/>
    <n v="0"/>
    <n v="0"/>
    <n v="0"/>
    <m/>
    <n v="54"/>
  </r>
  <r>
    <x v="55"/>
    <d v="2025-05-17T00:00:00"/>
    <x v="0"/>
    <x v="3"/>
    <x v="1"/>
    <x v="4"/>
    <s v="Basic"/>
    <n v="1"/>
    <n v="0"/>
    <n v="0"/>
    <n v="0"/>
    <n v="0"/>
    <n v="2"/>
    <n v="0"/>
    <m/>
    <n v="50"/>
  </r>
  <r>
    <x v="56"/>
    <d v="2025-04-01T00:00:00"/>
    <x v="0"/>
    <x v="2"/>
    <x v="1"/>
    <x v="4"/>
    <s v="Basic"/>
    <n v="0"/>
    <n v="0"/>
    <n v="0"/>
    <n v="0"/>
    <n v="0"/>
    <n v="0"/>
    <n v="0"/>
    <m/>
    <n v="48.1"/>
  </r>
  <r>
    <x v="57"/>
    <d v="2025-02-04T00:00:00"/>
    <x v="0"/>
    <x v="0"/>
    <x v="0"/>
    <x v="1"/>
    <s v="Free"/>
    <n v="1"/>
    <n v="0"/>
    <n v="0"/>
    <n v="0"/>
    <n v="0"/>
    <n v="0"/>
    <n v="0"/>
    <m/>
    <n v="49.6"/>
  </r>
  <r>
    <x v="58"/>
    <d v="2025-04-14T00:00:00"/>
    <x v="0"/>
    <x v="0"/>
    <x v="1"/>
    <x v="4"/>
    <s v="Free"/>
    <n v="0"/>
    <n v="0"/>
    <n v="0"/>
    <n v="0"/>
    <n v="0"/>
    <n v="2"/>
    <n v="0"/>
    <m/>
    <n v="48.9"/>
  </r>
  <r>
    <x v="59"/>
    <d v="2025-01-01T00:00:00"/>
    <x v="0"/>
    <x v="1"/>
    <x v="1"/>
    <x v="4"/>
    <s v="Free"/>
    <n v="1"/>
    <n v="1"/>
    <n v="1"/>
    <n v="1"/>
    <n v="240.42"/>
    <n v="0"/>
    <n v="0"/>
    <n v="16"/>
    <n v="56.5"/>
  </r>
  <r>
    <x v="60"/>
    <d v="2025-04-02T00:00:00"/>
    <x v="0"/>
    <x v="3"/>
    <x v="1"/>
    <x v="3"/>
    <s v="Free"/>
    <n v="1"/>
    <n v="0"/>
    <n v="0"/>
    <n v="0"/>
    <n v="0"/>
    <n v="0"/>
    <n v="0"/>
    <m/>
    <n v="53.7"/>
  </r>
  <r>
    <x v="61"/>
    <d v="2025-03-29T00:00:00"/>
    <x v="0"/>
    <x v="0"/>
    <x v="1"/>
    <x v="4"/>
    <s v="Premium"/>
    <n v="0"/>
    <n v="0"/>
    <n v="0"/>
    <n v="0"/>
    <n v="0"/>
    <n v="0"/>
    <n v="0"/>
    <m/>
    <n v="62.2"/>
  </r>
  <r>
    <x v="62"/>
    <d v="2025-05-15T00:00:00"/>
    <x v="0"/>
    <x v="3"/>
    <x v="0"/>
    <x v="1"/>
    <s v="Free"/>
    <n v="1"/>
    <n v="0"/>
    <n v="0"/>
    <n v="0"/>
    <n v="0"/>
    <n v="0"/>
    <n v="0"/>
    <m/>
    <n v="50.2"/>
  </r>
  <r>
    <x v="63"/>
    <d v="2025-04-11T00:00:00"/>
    <x v="0"/>
    <x v="0"/>
    <x v="1"/>
    <x v="1"/>
    <s v="Basic"/>
    <n v="1"/>
    <n v="0"/>
    <n v="0"/>
    <n v="0"/>
    <n v="0"/>
    <n v="0"/>
    <n v="0"/>
    <m/>
    <n v="74.3"/>
  </r>
  <r>
    <x v="64"/>
    <d v="2025-03-07T00:00:00"/>
    <x v="0"/>
    <x v="3"/>
    <x v="0"/>
    <x v="2"/>
    <s v="Free"/>
    <n v="1"/>
    <n v="0"/>
    <n v="0"/>
    <n v="0"/>
    <n v="0"/>
    <n v="0"/>
    <n v="0"/>
    <m/>
    <n v="58"/>
  </r>
  <r>
    <x v="65"/>
    <d v="2025-05-30T00:00:00"/>
    <x v="0"/>
    <x v="3"/>
    <x v="1"/>
    <x v="1"/>
    <s v="Free"/>
    <n v="0"/>
    <n v="0"/>
    <n v="0"/>
    <n v="0"/>
    <n v="0"/>
    <n v="0"/>
    <n v="0"/>
    <m/>
    <n v="46.7"/>
  </r>
  <r>
    <x v="66"/>
    <d v="2025-01-07T00:00:00"/>
    <x v="0"/>
    <x v="3"/>
    <x v="0"/>
    <x v="1"/>
    <s v="Premium"/>
    <n v="1"/>
    <n v="0"/>
    <n v="0"/>
    <n v="0"/>
    <n v="0"/>
    <n v="1"/>
    <n v="0"/>
    <m/>
    <n v="49.6"/>
  </r>
  <r>
    <x v="67"/>
    <d v="2025-05-08T00:00:00"/>
    <x v="0"/>
    <x v="1"/>
    <x v="1"/>
    <x v="4"/>
    <s v="Free"/>
    <n v="0"/>
    <n v="0"/>
    <n v="0"/>
    <n v="0"/>
    <n v="0"/>
    <n v="0"/>
    <n v="0"/>
    <m/>
    <n v="60.4"/>
  </r>
  <r>
    <x v="68"/>
    <d v="2025-03-19T00:00:00"/>
    <x v="0"/>
    <x v="2"/>
    <x v="0"/>
    <x v="0"/>
    <s v="Free"/>
    <n v="1"/>
    <n v="1"/>
    <n v="1"/>
    <n v="0"/>
    <n v="0"/>
    <n v="0"/>
    <n v="0"/>
    <m/>
    <n v="55.3"/>
  </r>
  <r>
    <x v="69"/>
    <d v="2025-05-16T00:00:00"/>
    <x v="0"/>
    <x v="0"/>
    <x v="0"/>
    <x v="1"/>
    <s v="Free"/>
    <n v="0"/>
    <n v="0"/>
    <n v="0"/>
    <n v="0"/>
    <n v="0"/>
    <n v="0"/>
    <n v="0"/>
    <m/>
    <n v="56.2"/>
  </r>
  <r>
    <x v="70"/>
    <d v="2025-03-08T00:00:00"/>
    <x v="0"/>
    <x v="1"/>
    <x v="1"/>
    <x v="0"/>
    <s v="Free"/>
    <n v="0"/>
    <n v="0"/>
    <n v="0"/>
    <n v="0"/>
    <n v="0"/>
    <n v="0"/>
    <n v="0"/>
    <m/>
    <n v="29.4"/>
  </r>
  <r>
    <x v="71"/>
    <d v="2025-03-08T00:00:00"/>
    <x v="0"/>
    <x v="2"/>
    <x v="1"/>
    <x v="0"/>
    <s v="Free"/>
    <n v="1"/>
    <n v="0"/>
    <n v="0"/>
    <n v="0"/>
    <n v="0"/>
    <n v="0"/>
    <n v="0"/>
    <m/>
    <n v="54.2"/>
  </r>
  <r>
    <x v="72"/>
    <d v="2025-01-14T00:00:00"/>
    <x v="0"/>
    <x v="2"/>
    <x v="0"/>
    <x v="2"/>
    <s v="Basic"/>
    <n v="0"/>
    <n v="0"/>
    <n v="0"/>
    <n v="0"/>
    <n v="0"/>
    <n v="0"/>
    <n v="0"/>
    <m/>
    <n v="46.4"/>
  </r>
  <r>
    <x v="73"/>
    <d v="2025-02-10T00:00:00"/>
    <x v="0"/>
    <x v="3"/>
    <x v="1"/>
    <x v="2"/>
    <s v="Basic"/>
    <n v="0"/>
    <n v="0"/>
    <n v="0"/>
    <n v="0"/>
    <n v="0"/>
    <n v="0"/>
    <n v="0"/>
    <m/>
    <n v="54.5"/>
  </r>
  <r>
    <x v="74"/>
    <d v="2025-03-17T00:00:00"/>
    <x v="0"/>
    <x v="0"/>
    <x v="1"/>
    <x v="1"/>
    <s v="Free"/>
    <n v="0"/>
    <n v="0"/>
    <n v="0"/>
    <n v="0"/>
    <n v="0"/>
    <n v="0"/>
    <n v="0"/>
    <m/>
    <n v="58.5"/>
  </r>
  <r>
    <x v="75"/>
    <d v="2025-01-09T00:00:00"/>
    <x v="0"/>
    <x v="3"/>
    <x v="1"/>
    <x v="0"/>
    <s v="Free"/>
    <n v="0"/>
    <n v="0"/>
    <n v="0"/>
    <n v="0"/>
    <n v="0"/>
    <n v="0"/>
    <n v="0"/>
    <m/>
    <n v="75.900000000000006"/>
  </r>
  <r>
    <x v="76"/>
    <d v="2025-04-17T00:00:00"/>
    <x v="0"/>
    <x v="0"/>
    <x v="1"/>
    <x v="3"/>
    <s v="Free"/>
    <n v="0"/>
    <n v="0"/>
    <n v="0"/>
    <n v="0"/>
    <n v="0"/>
    <n v="1"/>
    <n v="0"/>
    <m/>
    <n v="84.9"/>
  </r>
  <r>
    <x v="77"/>
    <d v="2025-01-16T00:00:00"/>
    <x v="0"/>
    <x v="0"/>
    <x v="1"/>
    <x v="1"/>
    <s v="Free"/>
    <n v="0"/>
    <n v="0"/>
    <n v="0"/>
    <n v="0"/>
    <n v="0"/>
    <n v="2"/>
    <n v="0"/>
    <m/>
    <n v="48.4"/>
  </r>
  <r>
    <x v="78"/>
    <d v="2025-02-20T00:00:00"/>
    <x v="0"/>
    <x v="1"/>
    <x v="0"/>
    <x v="1"/>
    <s v="Free"/>
    <n v="1"/>
    <n v="1"/>
    <n v="1"/>
    <n v="1"/>
    <n v="457.51"/>
    <n v="0"/>
    <n v="0"/>
    <n v="7"/>
    <n v="38"/>
  </r>
  <r>
    <x v="79"/>
    <d v="2025-05-21T00:00:00"/>
    <x v="0"/>
    <x v="2"/>
    <x v="1"/>
    <x v="4"/>
    <s v="Free"/>
    <n v="1"/>
    <n v="0"/>
    <n v="0"/>
    <n v="0"/>
    <n v="0"/>
    <n v="0"/>
    <n v="0"/>
    <m/>
    <n v="44.2"/>
  </r>
  <r>
    <x v="80"/>
    <d v="2025-05-08T00:00:00"/>
    <x v="0"/>
    <x v="3"/>
    <x v="1"/>
    <x v="1"/>
    <s v="Free"/>
    <n v="1"/>
    <n v="1"/>
    <n v="1"/>
    <n v="0"/>
    <n v="0"/>
    <n v="0"/>
    <n v="0"/>
    <m/>
    <n v="81.2"/>
  </r>
  <r>
    <x v="81"/>
    <d v="2025-03-08T00:00:00"/>
    <x v="0"/>
    <x v="3"/>
    <x v="1"/>
    <x v="3"/>
    <s v="Free"/>
    <n v="1"/>
    <n v="1"/>
    <n v="0"/>
    <n v="0"/>
    <n v="0"/>
    <n v="0"/>
    <n v="0"/>
    <m/>
    <n v="63.8"/>
  </r>
  <r>
    <x v="82"/>
    <d v="2025-04-01T00:00:00"/>
    <x v="0"/>
    <x v="3"/>
    <x v="0"/>
    <x v="0"/>
    <s v="Free"/>
    <n v="0"/>
    <n v="0"/>
    <n v="0"/>
    <n v="0"/>
    <n v="0"/>
    <n v="0"/>
    <n v="0"/>
    <m/>
    <n v="64.7"/>
  </r>
  <r>
    <x v="83"/>
    <d v="2025-03-03T00:00:00"/>
    <x v="0"/>
    <x v="1"/>
    <x v="1"/>
    <x v="4"/>
    <s v="Basic"/>
    <n v="0"/>
    <n v="0"/>
    <n v="0"/>
    <n v="0"/>
    <n v="0"/>
    <n v="0"/>
    <n v="0"/>
    <m/>
    <n v="60.4"/>
  </r>
  <r>
    <x v="84"/>
    <d v="2025-04-16T00:00:00"/>
    <x v="0"/>
    <x v="3"/>
    <x v="1"/>
    <x v="2"/>
    <s v="Free"/>
    <n v="0"/>
    <n v="0"/>
    <n v="0"/>
    <n v="0"/>
    <n v="0"/>
    <n v="0"/>
    <n v="0"/>
    <m/>
    <n v="66.599999999999994"/>
  </r>
  <r>
    <x v="85"/>
    <d v="2025-01-09T00:00:00"/>
    <x v="0"/>
    <x v="0"/>
    <x v="0"/>
    <x v="1"/>
    <s v="Free"/>
    <n v="1"/>
    <n v="0"/>
    <n v="0"/>
    <n v="0"/>
    <n v="0"/>
    <n v="0"/>
    <n v="0"/>
    <m/>
    <n v="50.9"/>
  </r>
  <r>
    <x v="86"/>
    <d v="2025-01-22T00:00:00"/>
    <x v="0"/>
    <x v="1"/>
    <x v="0"/>
    <x v="4"/>
    <s v="Basic"/>
    <n v="0"/>
    <n v="0"/>
    <n v="0"/>
    <n v="0"/>
    <n v="0"/>
    <n v="0"/>
    <n v="0"/>
    <m/>
    <n v="51"/>
  </r>
  <r>
    <x v="87"/>
    <d v="2025-04-30T00:00:00"/>
    <x v="0"/>
    <x v="3"/>
    <x v="1"/>
    <x v="0"/>
    <s v="Premium"/>
    <n v="0"/>
    <n v="0"/>
    <n v="0"/>
    <n v="0"/>
    <n v="0"/>
    <n v="0"/>
    <n v="0"/>
    <m/>
    <n v="65.8"/>
  </r>
  <r>
    <x v="88"/>
    <d v="2025-04-25T00:00:00"/>
    <x v="0"/>
    <x v="0"/>
    <x v="1"/>
    <x v="3"/>
    <s v="Basic"/>
    <n v="1"/>
    <n v="0"/>
    <n v="0"/>
    <n v="0"/>
    <n v="0"/>
    <n v="0"/>
    <n v="0"/>
    <m/>
    <n v="61.8"/>
  </r>
  <r>
    <x v="89"/>
    <d v="2025-02-01T00:00:00"/>
    <x v="0"/>
    <x v="0"/>
    <x v="1"/>
    <x v="1"/>
    <s v="Basic"/>
    <n v="1"/>
    <n v="0"/>
    <n v="0"/>
    <n v="0"/>
    <n v="0"/>
    <n v="0"/>
    <n v="0"/>
    <m/>
    <n v="54.5"/>
  </r>
  <r>
    <x v="90"/>
    <d v="2025-04-23T00:00:00"/>
    <x v="0"/>
    <x v="3"/>
    <x v="0"/>
    <x v="1"/>
    <s v="Free"/>
    <n v="1"/>
    <n v="0"/>
    <n v="0"/>
    <n v="0"/>
    <n v="0"/>
    <n v="0"/>
    <n v="0"/>
    <m/>
    <n v="72.2"/>
  </r>
  <r>
    <x v="91"/>
    <d v="2025-02-27T00:00:00"/>
    <x v="0"/>
    <x v="3"/>
    <x v="1"/>
    <x v="4"/>
    <s v="Free"/>
    <n v="1"/>
    <n v="0"/>
    <n v="0"/>
    <n v="0"/>
    <n v="0"/>
    <n v="0"/>
    <n v="0"/>
    <m/>
    <n v="42.3"/>
  </r>
  <r>
    <x v="92"/>
    <d v="2025-04-09T00:00:00"/>
    <x v="0"/>
    <x v="2"/>
    <x v="0"/>
    <x v="1"/>
    <s v="Basic"/>
    <n v="1"/>
    <n v="0"/>
    <n v="0"/>
    <n v="0"/>
    <n v="0"/>
    <n v="0"/>
    <n v="0"/>
    <m/>
    <n v="76.2"/>
  </r>
  <r>
    <x v="93"/>
    <d v="2025-05-13T00:00:00"/>
    <x v="0"/>
    <x v="3"/>
    <x v="2"/>
    <x v="1"/>
    <s v="Premium"/>
    <n v="1"/>
    <n v="1"/>
    <n v="1"/>
    <n v="0"/>
    <n v="0"/>
    <n v="1"/>
    <n v="0"/>
    <m/>
    <n v="37.4"/>
  </r>
  <r>
    <x v="94"/>
    <d v="2025-04-13T00:00:00"/>
    <x v="0"/>
    <x v="2"/>
    <x v="1"/>
    <x v="1"/>
    <s v="Free"/>
    <n v="0"/>
    <n v="0"/>
    <n v="0"/>
    <n v="0"/>
    <n v="0"/>
    <n v="0"/>
    <n v="0"/>
    <m/>
    <n v="84.2"/>
  </r>
  <r>
    <x v="95"/>
    <d v="2025-02-05T00:00:00"/>
    <x v="0"/>
    <x v="2"/>
    <x v="1"/>
    <x v="4"/>
    <s v="Free"/>
    <n v="0"/>
    <n v="0"/>
    <n v="0"/>
    <n v="0"/>
    <n v="0"/>
    <n v="0"/>
    <n v="0"/>
    <m/>
    <n v="68"/>
  </r>
  <r>
    <x v="96"/>
    <d v="2025-02-14T00:00:00"/>
    <x v="0"/>
    <x v="1"/>
    <x v="1"/>
    <x v="1"/>
    <s v="Basic"/>
    <n v="1"/>
    <n v="0"/>
    <n v="0"/>
    <n v="0"/>
    <n v="0"/>
    <n v="0"/>
    <n v="0"/>
    <m/>
    <n v="53.5"/>
  </r>
  <r>
    <x v="97"/>
    <d v="2025-02-11T00:00:00"/>
    <x v="0"/>
    <x v="0"/>
    <x v="0"/>
    <x v="1"/>
    <s v="Premium"/>
    <n v="1"/>
    <n v="0"/>
    <n v="0"/>
    <n v="0"/>
    <n v="0"/>
    <n v="0"/>
    <n v="0"/>
    <m/>
    <n v="63.2"/>
  </r>
  <r>
    <x v="98"/>
    <d v="2025-02-11T00:00:00"/>
    <x v="0"/>
    <x v="2"/>
    <x v="0"/>
    <x v="4"/>
    <s v="Free"/>
    <n v="1"/>
    <n v="1"/>
    <n v="1"/>
    <n v="1"/>
    <n v="363.32"/>
    <n v="0"/>
    <n v="0"/>
    <n v="9"/>
    <n v="55.9"/>
  </r>
  <r>
    <x v="99"/>
    <d v="2025-05-26T00:00:00"/>
    <x v="0"/>
    <x v="0"/>
    <x v="1"/>
    <x v="1"/>
    <s v="Free"/>
    <n v="1"/>
    <n v="0"/>
    <n v="0"/>
    <n v="0"/>
    <n v="0"/>
    <n v="0"/>
    <n v="0"/>
    <m/>
    <n v="63.5"/>
  </r>
  <r>
    <x v="100"/>
    <d v="2025-03-22T00:00:00"/>
    <x v="0"/>
    <x v="0"/>
    <x v="1"/>
    <x v="2"/>
    <s v="Basic"/>
    <n v="1"/>
    <n v="0"/>
    <n v="0"/>
    <n v="0"/>
    <n v="0"/>
    <n v="0"/>
    <n v="0"/>
    <m/>
    <n v="51.5"/>
  </r>
  <r>
    <x v="101"/>
    <d v="2025-04-08T00:00:00"/>
    <x v="0"/>
    <x v="1"/>
    <x v="1"/>
    <x v="2"/>
    <s v="Free"/>
    <n v="1"/>
    <n v="0"/>
    <n v="0"/>
    <n v="0"/>
    <n v="0"/>
    <n v="0"/>
    <n v="0"/>
    <m/>
    <n v="74.400000000000006"/>
  </r>
  <r>
    <x v="102"/>
    <d v="2025-04-14T00:00:00"/>
    <x v="0"/>
    <x v="0"/>
    <x v="0"/>
    <x v="4"/>
    <s v="Free"/>
    <n v="1"/>
    <n v="1"/>
    <n v="1"/>
    <n v="1"/>
    <n v="3887.98"/>
    <n v="0"/>
    <n v="0"/>
    <n v="13"/>
    <n v="60.2"/>
  </r>
  <r>
    <x v="103"/>
    <d v="2025-03-27T00:00:00"/>
    <x v="0"/>
    <x v="3"/>
    <x v="1"/>
    <x v="0"/>
    <s v="Free"/>
    <n v="1"/>
    <n v="0"/>
    <n v="0"/>
    <n v="0"/>
    <n v="0"/>
    <n v="1"/>
    <n v="0"/>
    <m/>
    <n v="67.2"/>
  </r>
  <r>
    <x v="104"/>
    <d v="2025-01-05T00:00:00"/>
    <x v="0"/>
    <x v="3"/>
    <x v="1"/>
    <x v="4"/>
    <s v="Free"/>
    <n v="1"/>
    <n v="1"/>
    <n v="1"/>
    <n v="0"/>
    <n v="0"/>
    <n v="0"/>
    <n v="0"/>
    <m/>
    <n v="79.599999999999994"/>
  </r>
  <r>
    <x v="105"/>
    <d v="2025-01-25T00:00:00"/>
    <x v="0"/>
    <x v="3"/>
    <x v="1"/>
    <x v="4"/>
    <s v="Basic"/>
    <n v="1"/>
    <n v="1"/>
    <n v="1"/>
    <n v="1"/>
    <n v="8610.7199999999993"/>
    <n v="0"/>
    <n v="0"/>
    <n v="6"/>
    <n v="61"/>
  </r>
  <r>
    <x v="106"/>
    <d v="2025-01-23T00:00:00"/>
    <x v="0"/>
    <x v="1"/>
    <x v="1"/>
    <x v="0"/>
    <s v="Free"/>
    <n v="1"/>
    <n v="1"/>
    <n v="1"/>
    <n v="0"/>
    <n v="0"/>
    <n v="4"/>
    <n v="0"/>
    <m/>
    <n v="51.1"/>
  </r>
  <r>
    <x v="107"/>
    <d v="2025-05-25T00:00:00"/>
    <x v="0"/>
    <x v="2"/>
    <x v="0"/>
    <x v="3"/>
    <s v="Free"/>
    <n v="1"/>
    <n v="0"/>
    <n v="0"/>
    <n v="0"/>
    <n v="0"/>
    <n v="0"/>
    <n v="0"/>
    <m/>
    <n v="92.1"/>
  </r>
  <r>
    <x v="108"/>
    <d v="2025-03-22T00:00:00"/>
    <x v="0"/>
    <x v="3"/>
    <x v="1"/>
    <x v="3"/>
    <s v="Basic"/>
    <n v="0"/>
    <n v="0"/>
    <n v="0"/>
    <n v="0"/>
    <n v="0"/>
    <n v="0"/>
    <n v="0"/>
    <m/>
    <n v="82.1"/>
  </r>
  <r>
    <x v="109"/>
    <d v="2025-02-12T00:00:00"/>
    <x v="0"/>
    <x v="1"/>
    <x v="0"/>
    <x v="2"/>
    <s v="Basic"/>
    <n v="1"/>
    <n v="0"/>
    <n v="0"/>
    <n v="0"/>
    <n v="0"/>
    <n v="1"/>
    <n v="0"/>
    <m/>
    <n v="74"/>
  </r>
  <r>
    <x v="110"/>
    <d v="2025-04-28T00:00:00"/>
    <x v="0"/>
    <x v="1"/>
    <x v="0"/>
    <x v="1"/>
    <s v="Basic"/>
    <n v="1"/>
    <n v="0"/>
    <n v="0"/>
    <n v="0"/>
    <n v="0"/>
    <n v="0"/>
    <n v="0"/>
    <m/>
    <n v="63.4"/>
  </r>
  <r>
    <x v="111"/>
    <d v="2025-01-30T00:00:00"/>
    <x v="0"/>
    <x v="0"/>
    <x v="1"/>
    <x v="1"/>
    <s v="Basic"/>
    <n v="1"/>
    <n v="0"/>
    <n v="0"/>
    <n v="0"/>
    <n v="0"/>
    <n v="0"/>
    <n v="0"/>
    <m/>
    <n v="53.2"/>
  </r>
  <r>
    <x v="112"/>
    <d v="2025-05-19T00:00:00"/>
    <x v="0"/>
    <x v="2"/>
    <x v="2"/>
    <x v="2"/>
    <s v="Free"/>
    <n v="0"/>
    <n v="0"/>
    <n v="0"/>
    <n v="0"/>
    <n v="0"/>
    <n v="0"/>
    <n v="0"/>
    <m/>
    <n v="48.1"/>
  </r>
  <r>
    <x v="113"/>
    <d v="2025-01-23T00:00:00"/>
    <x v="0"/>
    <x v="3"/>
    <x v="1"/>
    <x v="4"/>
    <s v="Free"/>
    <n v="1"/>
    <n v="1"/>
    <n v="0"/>
    <n v="0"/>
    <n v="0"/>
    <n v="0"/>
    <n v="0"/>
    <m/>
    <n v="61.5"/>
  </r>
  <r>
    <x v="114"/>
    <d v="2025-03-28T00:00:00"/>
    <x v="0"/>
    <x v="2"/>
    <x v="0"/>
    <x v="4"/>
    <s v="Free"/>
    <n v="1"/>
    <n v="0"/>
    <n v="0"/>
    <n v="0"/>
    <n v="0"/>
    <n v="0"/>
    <n v="0"/>
    <m/>
    <n v="63.2"/>
  </r>
  <r>
    <x v="115"/>
    <d v="2025-01-11T00:00:00"/>
    <x v="0"/>
    <x v="1"/>
    <x v="1"/>
    <x v="1"/>
    <s v="Free"/>
    <n v="0"/>
    <n v="0"/>
    <n v="0"/>
    <n v="0"/>
    <n v="0"/>
    <n v="0"/>
    <n v="0"/>
    <m/>
    <n v="71.900000000000006"/>
  </r>
  <r>
    <x v="116"/>
    <d v="2025-04-11T00:00:00"/>
    <x v="0"/>
    <x v="0"/>
    <x v="1"/>
    <x v="3"/>
    <s v="Free"/>
    <n v="0"/>
    <n v="0"/>
    <n v="0"/>
    <n v="0"/>
    <n v="0"/>
    <n v="0"/>
    <n v="0"/>
    <m/>
    <n v="62.7"/>
  </r>
  <r>
    <x v="117"/>
    <d v="2025-01-02T00:00:00"/>
    <x v="0"/>
    <x v="1"/>
    <x v="1"/>
    <x v="2"/>
    <s v="Free"/>
    <n v="1"/>
    <n v="0"/>
    <n v="0"/>
    <n v="0"/>
    <n v="0"/>
    <n v="0"/>
    <n v="0"/>
    <m/>
    <n v="51.5"/>
  </r>
  <r>
    <x v="118"/>
    <d v="2025-03-18T00:00:00"/>
    <x v="0"/>
    <x v="2"/>
    <x v="1"/>
    <x v="4"/>
    <s v="Free"/>
    <n v="1"/>
    <n v="1"/>
    <n v="1"/>
    <n v="0"/>
    <n v="0"/>
    <n v="0"/>
    <n v="0"/>
    <m/>
    <n v="39.1"/>
  </r>
  <r>
    <x v="119"/>
    <d v="2025-03-31T00:00:00"/>
    <x v="0"/>
    <x v="0"/>
    <x v="1"/>
    <x v="0"/>
    <s v="Free"/>
    <n v="1"/>
    <n v="0"/>
    <n v="0"/>
    <n v="0"/>
    <n v="0"/>
    <n v="0"/>
    <n v="0"/>
    <m/>
    <n v="43.8"/>
  </r>
  <r>
    <x v="120"/>
    <d v="2025-01-06T00:00:00"/>
    <x v="0"/>
    <x v="0"/>
    <x v="1"/>
    <x v="2"/>
    <s v="Basic"/>
    <n v="1"/>
    <n v="0"/>
    <n v="0"/>
    <n v="0"/>
    <n v="0"/>
    <n v="0"/>
    <n v="0"/>
    <m/>
    <n v="59.9"/>
  </r>
  <r>
    <x v="121"/>
    <d v="2025-01-26T00:00:00"/>
    <x v="0"/>
    <x v="0"/>
    <x v="1"/>
    <x v="3"/>
    <s v="Free"/>
    <n v="1"/>
    <n v="1"/>
    <n v="0"/>
    <n v="0"/>
    <n v="0"/>
    <n v="0"/>
    <n v="0"/>
    <m/>
    <n v="71.400000000000006"/>
  </r>
  <r>
    <x v="122"/>
    <d v="2025-04-22T00:00:00"/>
    <x v="0"/>
    <x v="3"/>
    <x v="1"/>
    <x v="3"/>
    <s v="Basic"/>
    <n v="0"/>
    <n v="0"/>
    <n v="0"/>
    <n v="0"/>
    <n v="0"/>
    <n v="0"/>
    <n v="0"/>
    <m/>
    <n v="36.1"/>
  </r>
  <r>
    <x v="123"/>
    <d v="2025-05-30T00:00:00"/>
    <x v="0"/>
    <x v="1"/>
    <x v="3"/>
    <x v="0"/>
    <s v="Basic"/>
    <n v="1"/>
    <n v="1"/>
    <n v="0"/>
    <n v="0"/>
    <n v="0"/>
    <n v="0"/>
    <n v="0"/>
    <m/>
    <n v="47.9"/>
  </r>
  <r>
    <x v="124"/>
    <d v="2025-05-18T00:00:00"/>
    <x v="0"/>
    <x v="1"/>
    <x v="0"/>
    <x v="1"/>
    <s v="Premium"/>
    <n v="1"/>
    <n v="0"/>
    <n v="0"/>
    <n v="0"/>
    <n v="0"/>
    <n v="0"/>
    <n v="0"/>
    <m/>
    <n v="62.5"/>
  </r>
  <r>
    <x v="125"/>
    <d v="2025-01-13T00:00:00"/>
    <x v="0"/>
    <x v="3"/>
    <x v="0"/>
    <x v="2"/>
    <s v="Premium"/>
    <n v="1"/>
    <n v="0"/>
    <n v="0"/>
    <n v="0"/>
    <n v="0"/>
    <n v="0"/>
    <n v="0"/>
    <m/>
    <n v="56.9"/>
  </r>
  <r>
    <x v="126"/>
    <d v="2025-03-25T00:00:00"/>
    <x v="0"/>
    <x v="0"/>
    <x v="0"/>
    <x v="0"/>
    <s v="Free"/>
    <n v="0"/>
    <n v="0"/>
    <n v="0"/>
    <n v="0"/>
    <n v="0"/>
    <n v="0"/>
    <n v="0"/>
    <m/>
    <n v="64.7"/>
  </r>
  <r>
    <x v="127"/>
    <d v="2025-04-29T00:00:00"/>
    <x v="0"/>
    <x v="3"/>
    <x v="0"/>
    <x v="1"/>
    <s v="Free"/>
    <n v="1"/>
    <n v="1"/>
    <n v="1"/>
    <n v="0"/>
    <n v="0"/>
    <n v="0"/>
    <n v="0"/>
    <m/>
    <n v="64"/>
  </r>
  <r>
    <x v="128"/>
    <d v="2025-05-17T00:00:00"/>
    <x v="0"/>
    <x v="2"/>
    <x v="1"/>
    <x v="3"/>
    <s v="Basic"/>
    <n v="1"/>
    <n v="1"/>
    <n v="1"/>
    <n v="0"/>
    <n v="0"/>
    <n v="0"/>
    <n v="0"/>
    <m/>
    <n v="75.2"/>
  </r>
  <r>
    <x v="129"/>
    <d v="2025-01-02T00:00:00"/>
    <x v="0"/>
    <x v="0"/>
    <x v="1"/>
    <x v="2"/>
    <s v="Free"/>
    <n v="1"/>
    <n v="0"/>
    <n v="0"/>
    <n v="0"/>
    <n v="0"/>
    <n v="1"/>
    <n v="0"/>
    <m/>
    <n v="79"/>
  </r>
  <r>
    <x v="130"/>
    <d v="2025-02-03T00:00:00"/>
    <x v="0"/>
    <x v="3"/>
    <x v="1"/>
    <x v="1"/>
    <s v="Free"/>
    <n v="0"/>
    <n v="0"/>
    <n v="0"/>
    <n v="0"/>
    <n v="0"/>
    <n v="0"/>
    <n v="0"/>
    <m/>
    <n v="33"/>
  </r>
  <r>
    <x v="131"/>
    <d v="2025-03-04T00:00:00"/>
    <x v="0"/>
    <x v="2"/>
    <x v="1"/>
    <x v="1"/>
    <s v="Free"/>
    <n v="1"/>
    <n v="0"/>
    <n v="0"/>
    <n v="0"/>
    <n v="0"/>
    <n v="0"/>
    <n v="0"/>
    <m/>
    <n v="67.900000000000006"/>
  </r>
  <r>
    <x v="132"/>
    <d v="2025-01-26T00:00:00"/>
    <x v="0"/>
    <x v="3"/>
    <x v="1"/>
    <x v="2"/>
    <s v="Basic"/>
    <n v="0"/>
    <n v="0"/>
    <n v="0"/>
    <n v="0"/>
    <n v="0"/>
    <n v="0"/>
    <n v="0"/>
    <m/>
    <n v="42.2"/>
  </r>
  <r>
    <x v="133"/>
    <d v="2025-05-12T00:00:00"/>
    <x v="0"/>
    <x v="1"/>
    <x v="1"/>
    <x v="2"/>
    <s v="Basic"/>
    <n v="1"/>
    <n v="1"/>
    <n v="1"/>
    <n v="0"/>
    <n v="0"/>
    <n v="0"/>
    <n v="0"/>
    <m/>
    <n v="43.4"/>
  </r>
  <r>
    <x v="134"/>
    <d v="2025-03-06T00:00:00"/>
    <x v="0"/>
    <x v="0"/>
    <x v="1"/>
    <x v="1"/>
    <s v="Basic"/>
    <n v="0"/>
    <n v="0"/>
    <n v="0"/>
    <n v="0"/>
    <n v="0"/>
    <n v="0"/>
    <n v="0"/>
    <m/>
    <n v="54.4"/>
  </r>
  <r>
    <x v="135"/>
    <d v="2025-03-10T00:00:00"/>
    <x v="0"/>
    <x v="3"/>
    <x v="0"/>
    <x v="0"/>
    <s v="Premium"/>
    <n v="0"/>
    <n v="0"/>
    <n v="0"/>
    <n v="0"/>
    <n v="0"/>
    <n v="0"/>
    <n v="0"/>
    <m/>
    <n v="45.7"/>
  </r>
  <r>
    <x v="136"/>
    <d v="2025-05-06T00:00:00"/>
    <x v="0"/>
    <x v="0"/>
    <x v="1"/>
    <x v="2"/>
    <s v="Free"/>
    <n v="0"/>
    <n v="0"/>
    <n v="0"/>
    <n v="0"/>
    <n v="0"/>
    <n v="3"/>
    <n v="0"/>
    <m/>
    <n v="32"/>
  </r>
  <r>
    <x v="137"/>
    <d v="2025-02-23T00:00:00"/>
    <x v="0"/>
    <x v="3"/>
    <x v="0"/>
    <x v="2"/>
    <s v="Free"/>
    <n v="1"/>
    <n v="0"/>
    <n v="0"/>
    <n v="0"/>
    <n v="0"/>
    <n v="0"/>
    <n v="0"/>
    <m/>
    <n v="70.900000000000006"/>
  </r>
  <r>
    <x v="138"/>
    <d v="2025-01-29T00:00:00"/>
    <x v="0"/>
    <x v="1"/>
    <x v="1"/>
    <x v="4"/>
    <s v="Basic"/>
    <n v="1"/>
    <n v="1"/>
    <n v="1"/>
    <n v="0"/>
    <n v="0"/>
    <n v="0"/>
    <n v="0"/>
    <m/>
    <n v="59.1"/>
  </r>
  <r>
    <x v="139"/>
    <d v="2025-01-31T00:00:00"/>
    <x v="0"/>
    <x v="0"/>
    <x v="1"/>
    <x v="1"/>
    <s v="Basic"/>
    <n v="0"/>
    <n v="0"/>
    <n v="0"/>
    <n v="0"/>
    <n v="0"/>
    <n v="0"/>
    <n v="0"/>
    <m/>
    <n v="62.4"/>
  </r>
  <r>
    <x v="140"/>
    <d v="2025-01-19T00:00:00"/>
    <x v="0"/>
    <x v="3"/>
    <x v="1"/>
    <x v="1"/>
    <s v="Free"/>
    <n v="0"/>
    <n v="0"/>
    <n v="0"/>
    <n v="0"/>
    <n v="0"/>
    <n v="0"/>
    <n v="0"/>
    <m/>
    <n v="49.6"/>
  </r>
  <r>
    <x v="141"/>
    <d v="2025-04-03T00:00:00"/>
    <x v="0"/>
    <x v="1"/>
    <x v="0"/>
    <x v="4"/>
    <s v="Free"/>
    <n v="1"/>
    <n v="1"/>
    <n v="1"/>
    <n v="1"/>
    <n v="404.4"/>
    <n v="0"/>
    <n v="0"/>
    <n v="9"/>
    <n v="80.599999999999994"/>
  </r>
  <r>
    <x v="142"/>
    <d v="2025-04-07T00:00:00"/>
    <x v="0"/>
    <x v="0"/>
    <x v="1"/>
    <x v="2"/>
    <s v="Free"/>
    <n v="1"/>
    <n v="0"/>
    <n v="0"/>
    <n v="0"/>
    <n v="0"/>
    <n v="0"/>
    <n v="0"/>
    <m/>
    <n v="47.9"/>
  </r>
  <r>
    <x v="143"/>
    <d v="2025-01-06T00:00:00"/>
    <x v="0"/>
    <x v="2"/>
    <x v="1"/>
    <x v="2"/>
    <s v="Basic"/>
    <n v="1"/>
    <n v="1"/>
    <n v="0"/>
    <n v="0"/>
    <n v="0"/>
    <n v="0"/>
    <n v="0"/>
    <m/>
    <n v="54.8"/>
  </r>
  <r>
    <x v="144"/>
    <d v="2025-04-11T00:00:00"/>
    <x v="0"/>
    <x v="2"/>
    <x v="1"/>
    <x v="1"/>
    <s v="Free"/>
    <n v="1"/>
    <n v="0"/>
    <n v="0"/>
    <n v="0"/>
    <n v="0"/>
    <n v="1"/>
    <n v="0"/>
    <m/>
    <n v="53.9"/>
  </r>
  <r>
    <x v="145"/>
    <d v="2025-04-23T00:00:00"/>
    <x v="0"/>
    <x v="2"/>
    <x v="1"/>
    <x v="2"/>
    <s v="Free"/>
    <n v="1"/>
    <n v="0"/>
    <n v="0"/>
    <n v="0"/>
    <n v="0"/>
    <n v="0"/>
    <n v="0"/>
    <m/>
    <n v="41.3"/>
  </r>
  <r>
    <x v="146"/>
    <d v="2025-03-25T00:00:00"/>
    <x v="0"/>
    <x v="1"/>
    <x v="1"/>
    <x v="1"/>
    <s v="Basic"/>
    <n v="1"/>
    <n v="1"/>
    <n v="0"/>
    <n v="0"/>
    <n v="0"/>
    <n v="0"/>
    <n v="0"/>
    <m/>
    <n v="38.9"/>
  </r>
  <r>
    <x v="147"/>
    <d v="2025-05-25T00:00:00"/>
    <x v="0"/>
    <x v="3"/>
    <x v="0"/>
    <x v="1"/>
    <s v="Basic"/>
    <n v="1"/>
    <n v="0"/>
    <n v="0"/>
    <n v="0"/>
    <n v="0"/>
    <n v="0"/>
    <n v="0"/>
    <m/>
    <n v="63.6"/>
  </r>
  <r>
    <x v="148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</r>
  <r>
    <x v="149"/>
    <d v="2025-02-12T00:00:00"/>
    <x v="0"/>
    <x v="1"/>
    <x v="1"/>
    <x v="2"/>
    <s v="Premium"/>
    <n v="0"/>
    <n v="0"/>
    <n v="0"/>
    <n v="0"/>
    <n v="0"/>
    <n v="1"/>
    <n v="0"/>
    <m/>
    <n v="67.599999999999994"/>
  </r>
  <r>
    <x v="150"/>
    <d v="2025-04-29T00:00:00"/>
    <x v="0"/>
    <x v="0"/>
    <x v="1"/>
    <x v="4"/>
    <s v="Premium"/>
    <n v="1"/>
    <n v="0"/>
    <n v="0"/>
    <n v="0"/>
    <n v="0"/>
    <n v="0"/>
    <n v="0"/>
    <m/>
    <n v="43.1"/>
  </r>
  <r>
    <x v="151"/>
    <d v="2025-03-13T00:00:00"/>
    <x v="0"/>
    <x v="3"/>
    <x v="1"/>
    <x v="0"/>
    <s v="Free"/>
    <n v="1"/>
    <n v="0"/>
    <n v="0"/>
    <n v="0"/>
    <n v="0"/>
    <n v="0"/>
    <n v="0"/>
    <m/>
    <n v="58.3"/>
  </r>
  <r>
    <x v="152"/>
    <d v="2025-02-04T00:00:00"/>
    <x v="0"/>
    <x v="2"/>
    <x v="0"/>
    <x v="2"/>
    <s v="Free"/>
    <n v="1"/>
    <n v="0"/>
    <n v="0"/>
    <n v="0"/>
    <n v="0"/>
    <n v="0"/>
    <n v="0"/>
    <m/>
    <n v="69.8"/>
  </r>
  <r>
    <x v="153"/>
    <d v="2025-03-04T00:00:00"/>
    <x v="0"/>
    <x v="3"/>
    <x v="1"/>
    <x v="3"/>
    <s v="Free"/>
    <n v="1"/>
    <n v="1"/>
    <n v="0"/>
    <n v="0"/>
    <n v="0"/>
    <n v="0"/>
    <n v="0"/>
    <m/>
    <m/>
  </r>
  <r>
    <x v="154"/>
    <d v="2025-02-04T00:00:00"/>
    <x v="0"/>
    <x v="1"/>
    <x v="1"/>
    <x v="2"/>
    <s v="Basic"/>
    <n v="1"/>
    <n v="1"/>
    <n v="0"/>
    <n v="0"/>
    <n v="0"/>
    <n v="0"/>
    <n v="0"/>
    <m/>
    <n v="41.9"/>
  </r>
  <r>
    <x v="155"/>
    <d v="2025-03-11T00:00:00"/>
    <x v="0"/>
    <x v="0"/>
    <x v="0"/>
    <x v="1"/>
    <s v="Free"/>
    <n v="0"/>
    <n v="0"/>
    <n v="0"/>
    <n v="0"/>
    <n v="0"/>
    <n v="0"/>
    <n v="0"/>
    <m/>
    <n v="33.1"/>
  </r>
  <r>
    <x v="156"/>
    <d v="2025-04-22T00:00:00"/>
    <x v="0"/>
    <x v="1"/>
    <x v="1"/>
    <x v="1"/>
    <s v="Free"/>
    <n v="0"/>
    <n v="0"/>
    <n v="0"/>
    <n v="0"/>
    <n v="0"/>
    <n v="0"/>
    <n v="0"/>
    <m/>
    <n v="58.6"/>
  </r>
  <r>
    <x v="157"/>
    <d v="2025-03-08T00:00:00"/>
    <x v="0"/>
    <x v="0"/>
    <x v="0"/>
    <x v="2"/>
    <s v="Free"/>
    <n v="0"/>
    <n v="0"/>
    <n v="0"/>
    <n v="0"/>
    <n v="0"/>
    <n v="0"/>
    <n v="0"/>
    <m/>
    <n v="55.7"/>
  </r>
  <r>
    <x v="158"/>
    <d v="2025-03-10T00:00:00"/>
    <x v="0"/>
    <x v="2"/>
    <x v="1"/>
    <x v="1"/>
    <s v="Free"/>
    <n v="0"/>
    <n v="0"/>
    <n v="0"/>
    <n v="0"/>
    <n v="0"/>
    <n v="2"/>
    <n v="0"/>
    <m/>
    <n v="64.900000000000006"/>
  </r>
  <r>
    <x v="159"/>
    <d v="2025-05-18T00:00:00"/>
    <x v="0"/>
    <x v="0"/>
    <x v="0"/>
    <x v="2"/>
    <s v="Basic"/>
    <n v="0"/>
    <n v="0"/>
    <n v="0"/>
    <n v="0"/>
    <n v="0"/>
    <n v="0"/>
    <n v="0"/>
    <m/>
    <n v="72.3"/>
  </r>
  <r>
    <x v="160"/>
    <d v="2025-05-14T00:00:00"/>
    <x v="0"/>
    <x v="0"/>
    <x v="1"/>
    <x v="4"/>
    <s v="Basic"/>
    <n v="0"/>
    <n v="0"/>
    <n v="0"/>
    <n v="0"/>
    <n v="0"/>
    <n v="0"/>
    <n v="0"/>
    <m/>
    <n v="42.1"/>
  </r>
  <r>
    <x v="161"/>
    <d v="2025-02-01T00:00:00"/>
    <x v="0"/>
    <x v="0"/>
    <x v="1"/>
    <x v="1"/>
    <s v="Free"/>
    <n v="0"/>
    <n v="0"/>
    <n v="0"/>
    <n v="0"/>
    <n v="0"/>
    <n v="0"/>
    <n v="0"/>
    <m/>
    <m/>
  </r>
  <r>
    <x v="162"/>
    <d v="2025-04-11T00:00:00"/>
    <x v="0"/>
    <x v="3"/>
    <x v="1"/>
    <x v="1"/>
    <s v="Basic"/>
    <n v="0"/>
    <n v="0"/>
    <n v="0"/>
    <n v="0"/>
    <n v="0"/>
    <n v="1"/>
    <n v="0"/>
    <m/>
    <n v="64.8"/>
  </r>
  <r>
    <x v="163"/>
    <d v="2025-02-14T00:00:00"/>
    <x v="0"/>
    <x v="2"/>
    <x v="1"/>
    <x v="1"/>
    <s v="Free"/>
    <n v="0"/>
    <n v="0"/>
    <n v="0"/>
    <n v="0"/>
    <n v="0"/>
    <n v="0"/>
    <n v="0"/>
    <m/>
    <n v="72.099999999999994"/>
  </r>
  <r>
    <x v="164"/>
    <d v="2025-05-19T00:00:00"/>
    <x v="0"/>
    <x v="2"/>
    <x v="1"/>
    <x v="4"/>
    <s v="Free"/>
    <n v="1"/>
    <n v="0"/>
    <n v="0"/>
    <n v="0"/>
    <n v="0"/>
    <n v="0"/>
    <n v="0"/>
    <m/>
    <n v="50.6"/>
  </r>
  <r>
    <x v="165"/>
    <d v="2025-04-26T00:00:00"/>
    <x v="0"/>
    <x v="0"/>
    <x v="0"/>
    <x v="2"/>
    <s v="Basic"/>
    <n v="1"/>
    <n v="1"/>
    <n v="1"/>
    <n v="1"/>
    <n v="1281.25"/>
    <n v="1"/>
    <n v="0"/>
    <n v="9"/>
    <n v="43.4"/>
  </r>
  <r>
    <x v="166"/>
    <d v="2025-04-06T00:00:00"/>
    <x v="0"/>
    <x v="3"/>
    <x v="1"/>
    <x v="4"/>
    <s v="Free"/>
    <n v="1"/>
    <n v="0"/>
    <n v="0"/>
    <n v="0"/>
    <n v="0"/>
    <n v="0"/>
    <n v="0"/>
    <m/>
    <n v="59.7"/>
  </r>
  <r>
    <x v="167"/>
    <d v="2025-03-06T00:00:00"/>
    <x v="0"/>
    <x v="3"/>
    <x v="1"/>
    <x v="2"/>
    <s v="Free"/>
    <n v="1"/>
    <n v="0"/>
    <n v="0"/>
    <n v="0"/>
    <n v="0"/>
    <n v="1"/>
    <n v="0"/>
    <m/>
    <m/>
  </r>
  <r>
    <x v="168"/>
    <d v="2025-03-10T00:00:00"/>
    <x v="0"/>
    <x v="1"/>
    <x v="1"/>
    <x v="4"/>
    <s v="Basic"/>
    <n v="0"/>
    <n v="0"/>
    <n v="0"/>
    <n v="0"/>
    <n v="0"/>
    <n v="0"/>
    <n v="0"/>
    <m/>
    <n v="54.5"/>
  </r>
  <r>
    <x v="169"/>
    <d v="2025-03-30T00:00:00"/>
    <x v="0"/>
    <x v="0"/>
    <x v="1"/>
    <x v="1"/>
    <s v="Free"/>
    <n v="1"/>
    <n v="0"/>
    <n v="0"/>
    <n v="0"/>
    <n v="0"/>
    <n v="0"/>
    <n v="0"/>
    <m/>
    <n v="71.099999999999994"/>
  </r>
  <r>
    <x v="170"/>
    <d v="2025-05-29T00:00:00"/>
    <x v="0"/>
    <x v="2"/>
    <x v="3"/>
    <x v="2"/>
    <s v="Free"/>
    <n v="1"/>
    <n v="1"/>
    <n v="1"/>
    <n v="0"/>
    <n v="0"/>
    <n v="0"/>
    <n v="0"/>
    <m/>
    <n v="44.4"/>
  </r>
  <r>
    <x v="171"/>
    <d v="2025-03-23T00:00:00"/>
    <x v="0"/>
    <x v="0"/>
    <x v="1"/>
    <x v="1"/>
    <s v="Free"/>
    <n v="1"/>
    <n v="0"/>
    <n v="0"/>
    <n v="0"/>
    <n v="0"/>
    <n v="0"/>
    <n v="0"/>
    <m/>
    <n v="61.7"/>
  </r>
  <r>
    <x v="172"/>
    <d v="2025-02-18T00:00:00"/>
    <x v="0"/>
    <x v="0"/>
    <x v="2"/>
    <x v="1"/>
    <s v="Basic"/>
    <n v="0"/>
    <n v="0"/>
    <n v="0"/>
    <n v="0"/>
    <n v="0"/>
    <n v="1"/>
    <n v="0"/>
    <m/>
    <n v="81.3"/>
  </r>
  <r>
    <x v="173"/>
    <d v="2025-01-26T00:00:00"/>
    <x v="0"/>
    <x v="0"/>
    <x v="0"/>
    <x v="0"/>
    <s v="Free"/>
    <n v="1"/>
    <n v="0"/>
    <n v="0"/>
    <n v="0"/>
    <n v="0"/>
    <n v="2"/>
    <n v="0"/>
    <m/>
    <n v="28.7"/>
  </r>
  <r>
    <x v="174"/>
    <d v="2025-04-23T00:00:00"/>
    <x v="0"/>
    <x v="2"/>
    <x v="1"/>
    <x v="4"/>
    <s v="Basic"/>
    <n v="0"/>
    <n v="0"/>
    <n v="0"/>
    <n v="0"/>
    <n v="0"/>
    <n v="0"/>
    <n v="0"/>
    <m/>
    <n v="53"/>
  </r>
  <r>
    <x v="175"/>
    <d v="2025-03-16T00:00:00"/>
    <x v="0"/>
    <x v="3"/>
    <x v="2"/>
    <x v="3"/>
    <s v="Basic"/>
    <n v="1"/>
    <n v="0"/>
    <n v="0"/>
    <n v="0"/>
    <n v="0"/>
    <n v="0"/>
    <n v="0"/>
    <m/>
    <n v="54.9"/>
  </r>
  <r>
    <x v="176"/>
    <d v="2025-04-29T00:00:00"/>
    <x v="0"/>
    <x v="1"/>
    <x v="1"/>
    <x v="1"/>
    <s v="Basic"/>
    <n v="1"/>
    <n v="0"/>
    <n v="0"/>
    <n v="0"/>
    <n v="0"/>
    <n v="0"/>
    <n v="0"/>
    <m/>
    <n v="58.2"/>
  </r>
  <r>
    <x v="177"/>
    <d v="2025-04-06T00:00:00"/>
    <x v="0"/>
    <x v="0"/>
    <x v="1"/>
    <x v="1"/>
    <s v="Free"/>
    <n v="0"/>
    <n v="0"/>
    <n v="0"/>
    <n v="0"/>
    <n v="0"/>
    <n v="0"/>
    <n v="0"/>
    <m/>
    <n v="80.599999999999994"/>
  </r>
  <r>
    <x v="178"/>
    <d v="2025-04-17T00:00:00"/>
    <x v="0"/>
    <x v="0"/>
    <x v="0"/>
    <x v="3"/>
    <s v="Premium"/>
    <n v="1"/>
    <n v="1"/>
    <n v="1"/>
    <n v="0"/>
    <n v="0"/>
    <n v="0"/>
    <n v="0"/>
    <m/>
    <n v="38.4"/>
  </r>
  <r>
    <x v="179"/>
    <d v="2025-04-03T00:00:00"/>
    <x v="0"/>
    <x v="3"/>
    <x v="1"/>
    <x v="2"/>
    <s v="Free"/>
    <n v="1"/>
    <n v="0"/>
    <n v="0"/>
    <n v="0"/>
    <n v="0"/>
    <n v="0"/>
    <n v="0"/>
    <m/>
    <n v="56.1"/>
  </r>
  <r>
    <x v="180"/>
    <d v="2025-04-25T00:00:00"/>
    <x v="0"/>
    <x v="1"/>
    <x v="1"/>
    <x v="2"/>
    <s v="Free"/>
    <n v="0"/>
    <n v="0"/>
    <n v="0"/>
    <n v="0"/>
    <n v="0"/>
    <n v="0"/>
    <n v="0"/>
    <m/>
    <n v="62.6"/>
  </r>
  <r>
    <x v="181"/>
    <d v="2025-04-30T00:00:00"/>
    <x v="0"/>
    <x v="3"/>
    <x v="1"/>
    <x v="1"/>
    <s v="Premium"/>
    <n v="0"/>
    <n v="0"/>
    <n v="0"/>
    <n v="0"/>
    <n v="0"/>
    <n v="0"/>
    <n v="0"/>
    <m/>
    <n v="36.299999999999997"/>
  </r>
  <r>
    <x v="182"/>
    <d v="2025-03-12T00:00:00"/>
    <x v="0"/>
    <x v="3"/>
    <x v="1"/>
    <x v="2"/>
    <s v="Free"/>
    <n v="1"/>
    <n v="0"/>
    <n v="0"/>
    <n v="0"/>
    <n v="0"/>
    <n v="0"/>
    <n v="0"/>
    <m/>
    <n v="52.1"/>
  </r>
  <r>
    <x v="183"/>
    <d v="2025-05-04T00:00:00"/>
    <x v="0"/>
    <x v="3"/>
    <x v="1"/>
    <x v="1"/>
    <s v="Free"/>
    <n v="1"/>
    <n v="0"/>
    <n v="0"/>
    <n v="0"/>
    <n v="0"/>
    <n v="0"/>
    <n v="0"/>
    <m/>
    <n v="45.1"/>
  </r>
  <r>
    <x v="184"/>
    <d v="2025-02-07T00:00:00"/>
    <x v="0"/>
    <x v="3"/>
    <x v="2"/>
    <x v="2"/>
    <s v="Premium"/>
    <n v="0"/>
    <n v="0"/>
    <n v="0"/>
    <n v="0"/>
    <n v="0"/>
    <n v="0"/>
    <n v="0"/>
    <m/>
    <n v="67.5"/>
  </r>
  <r>
    <x v="185"/>
    <d v="2025-04-28T00:00:00"/>
    <x v="0"/>
    <x v="2"/>
    <x v="2"/>
    <x v="0"/>
    <s v="Basic"/>
    <n v="1"/>
    <n v="1"/>
    <n v="1"/>
    <n v="0"/>
    <n v="0"/>
    <n v="0"/>
    <n v="0"/>
    <m/>
    <n v="80"/>
  </r>
  <r>
    <x v="186"/>
    <d v="2025-05-15T00:00:00"/>
    <x v="0"/>
    <x v="2"/>
    <x v="0"/>
    <x v="3"/>
    <s v="Free"/>
    <n v="0"/>
    <n v="0"/>
    <n v="0"/>
    <n v="0"/>
    <n v="0"/>
    <n v="0"/>
    <n v="0"/>
    <m/>
    <n v="56.4"/>
  </r>
  <r>
    <x v="187"/>
    <d v="2025-01-18T00:00:00"/>
    <x v="0"/>
    <x v="1"/>
    <x v="1"/>
    <x v="2"/>
    <s v="Basic"/>
    <n v="0"/>
    <n v="0"/>
    <n v="0"/>
    <n v="0"/>
    <n v="0"/>
    <n v="0"/>
    <n v="0"/>
    <m/>
    <n v="55.4"/>
  </r>
  <r>
    <x v="188"/>
    <d v="2025-02-15T00:00:00"/>
    <x v="0"/>
    <x v="3"/>
    <x v="1"/>
    <x v="4"/>
    <s v="Basic"/>
    <n v="1"/>
    <n v="0"/>
    <n v="0"/>
    <n v="0"/>
    <n v="0"/>
    <n v="0"/>
    <n v="0"/>
    <m/>
    <n v="67.900000000000006"/>
  </r>
  <r>
    <x v="189"/>
    <d v="2025-02-18T00:00:00"/>
    <x v="0"/>
    <x v="0"/>
    <x v="2"/>
    <x v="0"/>
    <s v="Free"/>
    <n v="1"/>
    <n v="0"/>
    <n v="0"/>
    <n v="0"/>
    <n v="0"/>
    <n v="0"/>
    <n v="0"/>
    <m/>
    <n v="62.5"/>
  </r>
  <r>
    <x v="190"/>
    <d v="2025-01-30T00:00:00"/>
    <x v="0"/>
    <x v="3"/>
    <x v="0"/>
    <x v="0"/>
    <s v="Basic"/>
    <n v="1"/>
    <n v="1"/>
    <n v="1"/>
    <n v="0"/>
    <n v="0"/>
    <n v="0"/>
    <n v="0"/>
    <m/>
    <n v="54.3"/>
  </r>
  <r>
    <x v="191"/>
    <d v="2025-02-09T00:00:00"/>
    <x v="0"/>
    <x v="3"/>
    <x v="0"/>
    <x v="1"/>
    <s v="Basic"/>
    <n v="1"/>
    <n v="0"/>
    <n v="0"/>
    <n v="0"/>
    <n v="0"/>
    <n v="0"/>
    <n v="0"/>
    <m/>
    <n v="37.5"/>
  </r>
  <r>
    <x v="192"/>
    <d v="2025-03-16T00:00:00"/>
    <x v="0"/>
    <x v="1"/>
    <x v="1"/>
    <x v="2"/>
    <s v="Basic"/>
    <n v="1"/>
    <n v="0"/>
    <n v="0"/>
    <n v="0"/>
    <n v="0"/>
    <n v="0"/>
    <n v="0"/>
    <m/>
    <n v="52.6"/>
  </r>
  <r>
    <x v="193"/>
    <d v="2025-05-19T00:00:00"/>
    <x v="0"/>
    <x v="0"/>
    <x v="1"/>
    <x v="2"/>
    <s v="Free"/>
    <n v="1"/>
    <n v="0"/>
    <n v="0"/>
    <n v="0"/>
    <n v="0"/>
    <n v="0"/>
    <n v="0"/>
    <m/>
    <n v="46.1"/>
  </r>
  <r>
    <x v="194"/>
    <d v="2025-05-16T00:00:00"/>
    <x v="0"/>
    <x v="3"/>
    <x v="0"/>
    <x v="1"/>
    <s v="Basic"/>
    <n v="1"/>
    <n v="0"/>
    <n v="0"/>
    <n v="0"/>
    <n v="0"/>
    <n v="0"/>
    <n v="0"/>
    <m/>
    <n v="54.7"/>
  </r>
  <r>
    <x v="195"/>
    <d v="2025-04-25T00:00:00"/>
    <x v="0"/>
    <x v="1"/>
    <x v="0"/>
    <x v="3"/>
    <s v="Basic"/>
    <n v="0"/>
    <n v="0"/>
    <n v="0"/>
    <n v="0"/>
    <n v="0"/>
    <n v="0"/>
    <n v="0"/>
    <m/>
    <n v="74.2"/>
  </r>
  <r>
    <x v="196"/>
    <d v="2025-02-27T00:00:00"/>
    <x v="0"/>
    <x v="0"/>
    <x v="1"/>
    <x v="4"/>
    <s v="Basic"/>
    <n v="1"/>
    <n v="1"/>
    <n v="1"/>
    <n v="1"/>
    <n v="1052.8"/>
    <n v="2"/>
    <n v="0"/>
    <n v="6"/>
    <n v="64.7"/>
  </r>
  <r>
    <x v="197"/>
    <d v="2025-04-26T00:00:00"/>
    <x v="0"/>
    <x v="3"/>
    <x v="1"/>
    <x v="2"/>
    <s v="Basic"/>
    <n v="0"/>
    <n v="0"/>
    <n v="0"/>
    <n v="0"/>
    <n v="0"/>
    <n v="0"/>
    <n v="0"/>
    <m/>
    <n v="65.900000000000006"/>
  </r>
  <r>
    <x v="198"/>
    <d v="2025-05-14T00:00:00"/>
    <x v="0"/>
    <x v="0"/>
    <x v="1"/>
    <x v="1"/>
    <s v="Basic"/>
    <n v="1"/>
    <n v="0"/>
    <n v="0"/>
    <n v="0"/>
    <n v="0"/>
    <n v="0"/>
    <n v="0"/>
    <m/>
    <n v="64"/>
  </r>
  <r>
    <x v="199"/>
    <d v="2025-03-05T00:00:00"/>
    <x v="0"/>
    <x v="0"/>
    <x v="1"/>
    <x v="1"/>
    <s v="Premium"/>
    <n v="1"/>
    <n v="0"/>
    <n v="0"/>
    <n v="0"/>
    <n v="0"/>
    <n v="0"/>
    <n v="0"/>
    <m/>
    <n v="57.2"/>
  </r>
  <r>
    <x v="200"/>
    <d v="2025-04-02T00:00:00"/>
    <x v="0"/>
    <x v="1"/>
    <x v="0"/>
    <x v="1"/>
    <s v="Free"/>
    <n v="1"/>
    <n v="0"/>
    <n v="0"/>
    <n v="0"/>
    <n v="0"/>
    <n v="0"/>
    <n v="0"/>
    <m/>
    <n v="80.5"/>
  </r>
  <r>
    <x v="201"/>
    <d v="2025-05-14T00:00:00"/>
    <x v="0"/>
    <x v="3"/>
    <x v="2"/>
    <x v="1"/>
    <s v="Free"/>
    <n v="0"/>
    <n v="0"/>
    <n v="0"/>
    <n v="0"/>
    <n v="0"/>
    <n v="0"/>
    <n v="0"/>
    <m/>
    <n v="53.9"/>
  </r>
  <r>
    <x v="202"/>
    <d v="2025-05-21T00:00:00"/>
    <x v="0"/>
    <x v="0"/>
    <x v="1"/>
    <x v="2"/>
    <s v="Free"/>
    <n v="1"/>
    <n v="1"/>
    <n v="0"/>
    <n v="0"/>
    <n v="0"/>
    <n v="0"/>
    <n v="0"/>
    <m/>
    <n v="77.5"/>
  </r>
  <r>
    <x v="203"/>
    <d v="2025-01-27T00:00:00"/>
    <x v="0"/>
    <x v="2"/>
    <x v="1"/>
    <x v="4"/>
    <s v="Basic"/>
    <n v="0"/>
    <n v="0"/>
    <n v="0"/>
    <n v="0"/>
    <n v="0"/>
    <n v="0"/>
    <n v="0"/>
    <m/>
    <n v="84.2"/>
  </r>
  <r>
    <x v="204"/>
    <d v="2025-05-22T00:00:00"/>
    <x v="0"/>
    <x v="1"/>
    <x v="0"/>
    <x v="1"/>
    <s v="Free"/>
    <n v="1"/>
    <n v="1"/>
    <n v="0"/>
    <n v="0"/>
    <n v="0"/>
    <n v="0"/>
    <n v="0"/>
    <m/>
    <n v="54.9"/>
  </r>
  <r>
    <x v="205"/>
    <d v="2025-05-19T00:00:00"/>
    <x v="0"/>
    <x v="3"/>
    <x v="1"/>
    <x v="2"/>
    <s v="Free"/>
    <n v="0"/>
    <n v="0"/>
    <n v="0"/>
    <n v="0"/>
    <n v="0"/>
    <n v="0"/>
    <n v="0"/>
    <m/>
    <n v="69.3"/>
  </r>
  <r>
    <x v="206"/>
    <d v="2025-01-14T00:00:00"/>
    <x v="0"/>
    <x v="3"/>
    <x v="0"/>
    <x v="2"/>
    <s v="Free"/>
    <n v="1"/>
    <n v="0"/>
    <n v="0"/>
    <n v="0"/>
    <n v="0"/>
    <n v="2"/>
    <n v="0"/>
    <m/>
    <n v="42.3"/>
  </r>
  <r>
    <x v="207"/>
    <d v="2025-01-21T00:00:00"/>
    <x v="0"/>
    <x v="0"/>
    <x v="0"/>
    <x v="3"/>
    <s v="Premium"/>
    <n v="1"/>
    <n v="0"/>
    <n v="0"/>
    <n v="0"/>
    <n v="0"/>
    <n v="1"/>
    <n v="0"/>
    <m/>
    <n v="69.599999999999994"/>
  </r>
  <r>
    <x v="208"/>
    <d v="2025-05-16T00:00:00"/>
    <x v="0"/>
    <x v="2"/>
    <x v="1"/>
    <x v="1"/>
    <s v="Free"/>
    <n v="0"/>
    <n v="0"/>
    <n v="0"/>
    <n v="0"/>
    <n v="0"/>
    <n v="0"/>
    <n v="0"/>
    <m/>
    <n v="40.700000000000003"/>
  </r>
  <r>
    <x v="209"/>
    <d v="2025-02-02T00:00:00"/>
    <x v="0"/>
    <x v="0"/>
    <x v="1"/>
    <x v="0"/>
    <s v="Free"/>
    <n v="1"/>
    <n v="0"/>
    <n v="0"/>
    <n v="0"/>
    <n v="0"/>
    <n v="0"/>
    <n v="0"/>
    <m/>
    <n v="54"/>
  </r>
  <r>
    <x v="210"/>
    <d v="2025-03-23T00:00:00"/>
    <x v="0"/>
    <x v="2"/>
    <x v="3"/>
    <x v="3"/>
    <s v="Free"/>
    <n v="1"/>
    <n v="1"/>
    <n v="1"/>
    <n v="1"/>
    <n v="553.37"/>
    <n v="0"/>
    <n v="0"/>
    <n v="5"/>
    <n v="46.3"/>
  </r>
  <r>
    <x v="211"/>
    <d v="2025-01-24T00:00:00"/>
    <x v="0"/>
    <x v="2"/>
    <x v="1"/>
    <x v="1"/>
    <s v="Free"/>
    <n v="1"/>
    <n v="0"/>
    <n v="0"/>
    <n v="0"/>
    <n v="0"/>
    <n v="0"/>
    <n v="0"/>
    <m/>
    <n v="64.2"/>
  </r>
  <r>
    <x v="212"/>
    <d v="2025-04-12T00:00:00"/>
    <x v="0"/>
    <x v="0"/>
    <x v="0"/>
    <x v="1"/>
    <s v="Free"/>
    <n v="1"/>
    <n v="0"/>
    <n v="0"/>
    <n v="0"/>
    <n v="0"/>
    <n v="0"/>
    <n v="0"/>
    <m/>
    <n v="75.2"/>
  </r>
  <r>
    <x v="213"/>
    <d v="2025-02-18T00:00:00"/>
    <x v="0"/>
    <x v="2"/>
    <x v="0"/>
    <x v="2"/>
    <s v="Free"/>
    <n v="1"/>
    <n v="1"/>
    <n v="0"/>
    <n v="0"/>
    <n v="0"/>
    <n v="0"/>
    <n v="0"/>
    <m/>
    <n v="60.9"/>
  </r>
  <r>
    <x v="214"/>
    <d v="2025-05-28T00:00:00"/>
    <x v="0"/>
    <x v="3"/>
    <x v="1"/>
    <x v="0"/>
    <s v="Basic"/>
    <n v="1"/>
    <n v="1"/>
    <n v="1"/>
    <n v="0"/>
    <n v="0"/>
    <n v="0"/>
    <n v="0"/>
    <m/>
    <n v="62.1"/>
  </r>
  <r>
    <x v="215"/>
    <d v="2025-04-18T00:00:00"/>
    <x v="0"/>
    <x v="3"/>
    <x v="1"/>
    <x v="4"/>
    <s v="Basic"/>
    <n v="0"/>
    <n v="0"/>
    <n v="0"/>
    <n v="0"/>
    <n v="0"/>
    <n v="0"/>
    <n v="0"/>
    <m/>
    <n v="45.4"/>
  </r>
  <r>
    <x v="216"/>
    <d v="2025-03-27T00:00:00"/>
    <x v="0"/>
    <x v="0"/>
    <x v="1"/>
    <x v="2"/>
    <s v="Basic"/>
    <n v="1"/>
    <n v="0"/>
    <n v="0"/>
    <n v="0"/>
    <n v="0"/>
    <n v="0"/>
    <n v="0"/>
    <m/>
    <n v="53.3"/>
  </r>
  <r>
    <x v="217"/>
    <d v="2025-02-25T00:00:00"/>
    <x v="0"/>
    <x v="0"/>
    <x v="2"/>
    <x v="4"/>
    <s v="Free"/>
    <n v="1"/>
    <n v="0"/>
    <n v="0"/>
    <n v="0"/>
    <n v="0"/>
    <n v="0"/>
    <n v="0"/>
    <m/>
    <m/>
  </r>
  <r>
    <x v="218"/>
    <d v="2025-02-19T00:00:00"/>
    <x v="0"/>
    <x v="2"/>
    <x v="1"/>
    <x v="2"/>
    <s v="Free"/>
    <n v="0"/>
    <n v="0"/>
    <n v="0"/>
    <n v="0"/>
    <n v="0"/>
    <n v="1"/>
    <n v="0"/>
    <m/>
    <n v="38.200000000000003"/>
  </r>
  <r>
    <x v="219"/>
    <d v="2025-04-11T00:00:00"/>
    <x v="0"/>
    <x v="1"/>
    <x v="1"/>
    <x v="2"/>
    <s v="Free"/>
    <n v="1"/>
    <n v="1"/>
    <n v="0"/>
    <n v="0"/>
    <n v="0"/>
    <n v="3"/>
    <n v="0"/>
    <m/>
    <n v="59"/>
  </r>
  <r>
    <x v="220"/>
    <d v="2025-01-22T00:00:00"/>
    <x v="0"/>
    <x v="2"/>
    <x v="2"/>
    <x v="3"/>
    <s v="Premium"/>
    <n v="1"/>
    <n v="1"/>
    <n v="1"/>
    <n v="0"/>
    <n v="0"/>
    <n v="0"/>
    <n v="0"/>
    <m/>
    <n v="80.599999999999994"/>
  </r>
  <r>
    <x v="221"/>
    <d v="2025-01-12T00:00:00"/>
    <x v="0"/>
    <x v="3"/>
    <x v="1"/>
    <x v="4"/>
    <s v="Free"/>
    <n v="1"/>
    <n v="0"/>
    <n v="0"/>
    <n v="0"/>
    <n v="0"/>
    <n v="0"/>
    <n v="0"/>
    <m/>
    <n v="67"/>
  </r>
  <r>
    <x v="222"/>
    <d v="2025-02-17T00:00:00"/>
    <x v="0"/>
    <x v="1"/>
    <x v="1"/>
    <x v="0"/>
    <s v="Free"/>
    <n v="1"/>
    <n v="0"/>
    <n v="0"/>
    <n v="0"/>
    <n v="0"/>
    <n v="1"/>
    <n v="0"/>
    <m/>
    <n v="72.099999999999994"/>
  </r>
  <r>
    <x v="223"/>
    <d v="2025-04-11T00:00:00"/>
    <x v="0"/>
    <x v="1"/>
    <x v="0"/>
    <x v="1"/>
    <s v="Free"/>
    <n v="0"/>
    <n v="0"/>
    <n v="0"/>
    <n v="0"/>
    <n v="0"/>
    <n v="0"/>
    <n v="0"/>
    <m/>
    <n v="74.099999999999994"/>
  </r>
  <r>
    <x v="224"/>
    <d v="2025-05-25T00:00:00"/>
    <x v="0"/>
    <x v="3"/>
    <x v="1"/>
    <x v="3"/>
    <s v="Premium"/>
    <n v="0"/>
    <n v="0"/>
    <n v="0"/>
    <n v="0"/>
    <n v="0"/>
    <n v="0"/>
    <n v="0"/>
    <m/>
    <n v="84.8"/>
  </r>
  <r>
    <x v="225"/>
    <d v="2025-03-12T00:00:00"/>
    <x v="0"/>
    <x v="3"/>
    <x v="1"/>
    <x v="1"/>
    <s v="Basic"/>
    <n v="1"/>
    <n v="0"/>
    <n v="0"/>
    <n v="0"/>
    <n v="0"/>
    <n v="0"/>
    <n v="0"/>
    <m/>
    <n v="33"/>
  </r>
  <r>
    <x v="226"/>
    <d v="2025-04-20T00:00:00"/>
    <x v="0"/>
    <x v="0"/>
    <x v="2"/>
    <x v="0"/>
    <s v="Free"/>
    <n v="0"/>
    <n v="0"/>
    <n v="0"/>
    <n v="0"/>
    <n v="0"/>
    <n v="0"/>
    <n v="0"/>
    <m/>
    <n v="52.5"/>
  </r>
  <r>
    <x v="227"/>
    <d v="2025-02-23T00:00:00"/>
    <x v="0"/>
    <x v="0"/>
    <x v="2"/>
    <x v="1"/>
    <s v="Free"/>
    <n v="0"/>
    <n v="0"/>
    <n v="0"/>
    <n v="0"/>
    <n v="0"/>
    <n v="0"/>
    <n v="0"/>
    <m/>
    <n v="66.900000000000006"/>
  </r>
  <r>
    <x v="228"/>
    <d v="2025-01-24T00:00:00"/>
    <x v="0"/>
    <x v="0"/>
    <x v="1"/>
    <x v="1"/>
    <s v="Basic"/>
    <n v="1"/>
    <n v="1"/>
    <n v="1"/>
    <n v="0"/>
    <n v="0"/>
    <n v="1"/>
    <n v="0"/>
    <m/>
    <n v="32.700000000000003"/>
  </r>
  <r>
    <x v="229"/>
    <d v="2025-01-16T00:00:00"/>
    <x v="0"/>
    <x v="1"/>
    <x v="1"/>
    <x v="1"/>
    <s v="Premium"/>
    <n v="1"/>
    <n v="1"/>
    <n v="1"/>
    <n v="0"/>
    <n v="0"/>
    <n v="1"/>
    <n v="0"/>
    <m/>
    <n v="70.599999999999994"/>
  </r>
  <r>
    <x v="230"/>
    <d v="2025-02-17T00:00:00"/>
    <x v="0"/>
    <x v="0"/>
    <x v="1"/>
    <x v="4"/>
    <s v="Free"/>
    <n v="0"/>
    <n v="0"/>
    <n v="0"/>
    <n v="0"/>
    <n v="0"/>
    <n v="0"/>
    <n v="0"/>
    <m/>
    <n v="69.400000000000006"/>
  </r>
  <r>
    <x v="231"/>
    <d v="2025-05-04T00:00:00"/>
    <x v="0"/>
    <x v="0"/>
    <x v="0"/>
    <x v="1"/>
    <s v="Basic"/>
    <n v="1"/>
    <n v="0"/>
    <n v="0"/>
    <n v="0"/>
    <n v="0"/>
    <n v="0"/>
    <n v="0"/>
    <m/>
    <n v="56.1"/>
  </r>
  <r>
    <x v="232"/>
    <d v="2025-01-12T00:00:00"/>
    <x v="0"/>
    <x v="1"/>
    <x v="1"/>
    <x v="1"/>
    <s v="Basic"/>
    <n v="0"/>
    <n v="0"/>
    <n v="0"/>
    <n v="0"/>
    <n v="0"/>
    <n v="0"/>
    <n v="0"/>
    <m/>
    <n v="55.8"/>
  </r>
  <r>
    <x v="233"/>
    <d v="2025-04-28T00:00:00"/>
    <x v="0"/>
    <x v="0"/>
    <x v="2"/>
    <x v="1"/>
    <s v="Free"/>
    <n v="0"/>
    <n v="0"/>
    <n v="0"/>
    <n v="0"/>
    <n v="0"/>
    <n v="0"/>
    <n v="0"/>
    <m/>
    <n v="49.3"/>
  </r>
  <r>
    <x v="234"/>
    <d v="2025-02-26T00:00:00"/>
    <x v="0"/>
    <x v="0"/>
    <x v="1"/>
    <x v="1"/>
    <s v="Free"/>
    <n v="0"/>
    <n v="0"/>
    <n v="0"/>
    <n v="0"/>
    <n v="0"/>
    <n v="0"/>
    <n v="0"/>
    <m/>
    <n v="71.8"/>
  </r>
  <r>
    <x v="235"/>
    <d v="2025-03-18T00:00:00"/>
    <x v="0"/>
    <x v="1"/>
    <x v="1"/>
    <x v="4"/>
    <s v="Free"/>
    <n v="1"/>
    <n v="0"/>
    <n v="0"/>
    <n v="0"/>
    <n v="0"/>
    <n v="3"/>
    <n v="0"/>
    <m/>
    <n v="39.700000000000003"/>
  </r>
  <r>
    <x v="236"/>
    <d v="2025-03-01T00:00:00"/>
    <x v="0"/>
    <x v="3"/>
    <x v="0"/>
    <x v="1"/>
    <s v="Premium"/>
    <n v="1"/>
    <n v="0"/>
    <n v="0"/>
    <n v="0"/>
    <n v="0"/>
    <n v="0"/>
    <n v="0"/>
    <m/>
    <n v="45.4"/>
  </r>
  <r>
    <x v="237"/>
    <d v="2025-04-05T00:00:00"/>
    <x v="0"/>
    <x v="0"/>
    <x v="0"/>
    <x v="4"/>
    <s v="Premium"/>
    <n v="1"/>
    <n v="0"/>
    <n v="0"/>
    <n v="0"/>
    <n v="0"/>
    <n v="0"/>
    <n v="0"/>
    <m/>
    <n v="69.900000000000006"/>
  </r>
  <r>
    <x v="238"/>
    <d v="2025-03-12T00:00:00"/>
    <x v="0"/>
    <x v="0"/>
    <x v="0"/>
    <x v="4"/>
    <s v="Free"/>
    <n v="1"/>
    <n v="1"/>
    <n v="1"/>
    <n v="0"/>
    <n v="0"/>
    <n v="0"/>
    <n v="0"/>
    <m/>
    <n v="56.1"/>
  </r>
  <r>
    <x v="239"/>
    <d v="2025-03-15T00:00:00"/>
    <x v="0"/>
    <x v="1"/>
    <x v="1"/>
    <x v="3"/>
    <s v="Basic"/>
    <n v="1"/>
    <n v="1"/>
    <n v="0"/>
    <n v="0"/>
    <n v="0"/>
    <n v="0"/>
    <n v="0"/>
    <m/>
    <n v="45.9"/>
  </r>
  <r>
    <x v="240"/>
    <d v="2025-02-23T00:00:00"/>
    <x v="0"/>
    <x v="1"/>
    <x v="1"/>
    <x v="0"/>
    <s v="Free"/>
    <n v="0"/>
    <n v="0"/>
    <n v="0"/>
    <n v="0"/>
    <n v="0"/>
    <n v="0"/>
    <n v="0"/>
    <m/>
    <n v="65.8"/>
  </r>
  <r>
    <x v="241"/>
    <d v="2025-04-22T00:00:00"/>
    <x v="0"/>
    <x v="0"/>
    <x v="1"/>
    <x v="1"/>
    <s v="Basic"/>
    <n v="1"/>
    <n v="0"/>
    <n v="0"/>
    <n v="0"/>
    <n v="0"/>
    <n v="0"/>
    <n v="0"/>
    <m/>
    <n v="48.2"/>
  </r>
  <r>
    <x v="242"/>
    <d v="2025-01-09T00:00:00"/>
    <x v="0"/>
    <x v="2"/>
    <x v="1"/>
    <x v="1"/>
    <s v="Basic"/>
    <n v="1"/>
    <n v="1"/>
    <n v="1"/>
    <n v="0"/>
    <n v="0"/>
    <n v="0"/>
    <n v="0"/>
    <m/>
    <n v="81.099999999999994"/>
  </r>
  <r>
    <x v="243"/>
    <d v="2025-03-05T00:00:00"/>
    <x v="0"/>
    <x v="2"/>
    <x v="2"/>
    <x v="4"/>
    <s v="Premium"/>
    <n v="1"/>
    <n v="1"/>
    <n v="0"/>
    <n v="0"/>
    <n v="0"/>
    <n v="0"/>
    <n v="0"/>
    <m/>
    <n v="53.2"/>
  </r>
  <r>
    <x v="244"/>
    <d v="2025-01-28T00:00:00"/>
    <x v="0"/>
    <x v="0"/>
    <x v="1"/>
    <x v="4"/>
    <s v="Free"/>
    <n v="1"/>
    <n v="1"/>
    <n v="1"/>
    <n v="0"/>
    <n v="0"/>
    <n v="0"/>
    <n v="0"/>
    <m/>
    <n v="57.7"/>
  </r>
  <r>
    <x v="245"/>
    <d v="2025-01-21T00:00:00"/>
    <x v="0"/>
    <x v="1"/>
    <x v="1"/>
    <x v="2"/>
    <s v="Premium"/>
    <n v="1"/>
    <n v="1"/>
    <n v="0"/>
    <n v="0"/>
    <n v="0"/>
    <n v="0"/>
    <n v="0"/>
    <m/>
    <n v="78.900000000000006"/>
  </r>
  <r>
    <x v="246"/>
    <d v="2025-03-14T00:00:00"/>
    <x v="0"/>
    <x v="3"/>
    <x v="1"/>
    <x v="3"/>
    <s v="Basic"/>
    <n v="0"/>
    <n v="0"/>
    <n v="0"/>
    <n v="0"/>
    <n v="0"/>
    <n v="0"/>
    <n v="0"/>
    <m/>
    <n v="55.7"/>
  </r>
  <r>
    <x v="247"/>
    <d v="2025-02-03T00:00:00"/>
    <x v="0"/>
    <x v="1"/>
    <x v="1"/>
    <x v="2"/>
    <s v="Free"/>
    <n v="0"/>
    <n v="0"/>
    <n v="0"/>
    <n v="0"/>
    <n v="0"/>
    <n v="0"/>
    <n v="0"/>
    <m/>
    <n v="52.3"/>
  </r>
  <r>
    <x v="248"/>
    <d v="2025-05-22T00:00:00"/>
    <x v="0"/>
    <x v="0"/>
    <x v="1"/>
    <x v="4"/>
    <s v="Free"/>
    <n v="1"/>
    <n v="0"/>
    <n v="0"/>
    <n v="0"/>
    <n v="0"/>
    <n v="0"/>
    <n v="0"/>
    <m/>
    <n v="51.5"/>
  </r>
  <r>
    <x v="249"/>
    <d v="2025-04-25T00:00:00"/>
    <x v="0"/>
    <x v="0"/>
    <x v="0"/>
    <x v="0"/>
    <s v="Free"/>
    <n v="1"/>
    <n v="0"/>
    <n v="0"/>
    <n v="0"/>
    <n v="0"/>
    <n v="0"/>
    <n v="0"/>
    <m/>
    <n v="70.8"/>
  </r>
  <r>
    <x v="250"/>
    <d v="2025-01-30T00:00:00"/>
    <x v="0"/>
    <x v="0"/>
    <x v="0"/>
    <x v="0"/>
    <s v="Basic"/>
    <n v="1"/>
    <n v="1"/>
    <n v="1"/>
    <n v="1"/>
    <n v="1250.78"/>
    <n v="0"/>
    <n v="0"/>
    <n v="10"/>
    <n v="39"/>
  </r>
  <r>
    <x v="251"/>
    <d v="2025-05-23T00:00:00"/>
    <x v="0"/>
    <x v="1"/>
    <x v="1"/>
    <x v="1"/>
    <s v="Free"/>
    <n v="1"/>
    <n v="0"/>
    <n v="0"/>
    <n v="0"/>
    <n v="0"/>
    <n v="0"/>
    <n v="0"/>
    <m/>
    <n v="61.6"/>
  </r>
  <r>
    <x v="252"/>
    <d v="2025-02-14T00:00:00"/>
    <x v="0"/>
    <x v="2"/>
    <x v="0"/>
    <x v="1"/>
    <s v="Free"/>
    <n v="1"/>
    <n v="1"/>
    <n v="1"/>
    <n v="0"/>
    <n v="0"/>
    <n v="0"/>
    <n v="0"/>
    <m/>
    <n v="46.8"/>
  </r>
  <r>
    <x v="253"/>
    <d v="2025-03-05T00:00:00"/>
    <x v="0"/>
    <x v="0"/>
    <x v="1"/>
    <x v="2"/>
    <s v="Premium"/>
    <n v="0"/>
    <n v="0"/>
    <n v="0"/>
    <n v="0"/>
    <n v="0"/>
    <n v="1"/>
    <n v="0"/>
    <m/>
    <n v="58.5"/>
  </r>
  <r>
    <x v="254"/>
    <d v="2025-05-27T00:00:00"/>
    <x v="0"/>
    <x v="0"/>
    <x v="1"/>
    <x v="2"/>
    <s v="Basic"/>
    <n v="0"/>
    <n v="0"/>
    <n v="0"/>
    <n v="0"/>
    <n v="0"/>
    <n v="0"/>
    <n v="0"/>
    <m/>
    <n v="70.900000000000006"/>
  </r>
  <r>
    <x v="255"/>
    <d v="2025-01-07T00:00:00"/>
    <x v="0"/>
    <x v="3"/>
    <x v="1"/>
    <x v="2"/>
    <s v="Free"/>
    <n v="1"/>
    <n v="0"/>
    <n v="0"/>
    <n v="0"/>
    <n v="0"/>
    <n v="0"/>
    <n v="0"/>
    <m/>
    <n v="48.4"/>
  </r>
  <r>
    <x v="256"/>
    <d v="2025-04-21T00:00:00"/>
    <x v="0"/>
    <x v="0"/>
    <x v="1"/>
    <x v="0"/>
    <s v="Free"/>
    <n v="1"/>
    <n v="0"/>
    <n v="0"/>
    <n v="0"/>
    <n v="0"/>
    <n v="0"/>
    <n v="0"/>
    <m/>
    <n v="58"/>
  </r>
  <r>
    <x v="257"/>
    <d v="2025-05-13T00:00:00"/>
    <x v="0"/>
    <x v="0"/>
    <x v="1"/>
    <x v="2"/>
    <s v="Free"/>
    <n v="0"/>
    <n v="0"/>
    <n v="0"/>
    <n v="0"/>
    <n v="0"/>
    <n v="0"/>
    <n v="0"/>
    <m/>
    <n v="61.6"/>
  </r>
  <r>
    <x v="258"/>
    <d v="2025-01-28T00:00:00"/>
    <x v="0"/>
    <x v="2"/>
    <x v="0"/>
    <x v="1"/>
    <s v="Free"/>
    <n v="1"/>
    <n v="0"/>
    <n v="0"/>
    <n v="0"/>
    <n v="0"/>
    <n v="0"/>
    <n v="0"/>
    <m/>
    <n v="43.2"/>
  </r>
  <r>
    <x v="259"/>
    <d v="2025-03-16T00:00:00"/>
    <x v="0"/>
    <x v="2"/>
    <x v="0"/>
    <x v="2"/>
    <s v="Basic"/>
    <n v="1"/>
    <n v="0"/>
    <n v="0"/>
    <n v="0"/>
    <n v="0"/>
    <n v="1"/>
    <n v="0"/>
    <m/>
    <n v="53.3"/>
  </r>
  <r>
    <x v="260"/>
    <d v="2025-04-10T00:00:00"/>
    <x v="0"/>
    <x v="2"/>
    <x v="0"/>
    <x v="4"/>
    <s v="Basic"/>
    <n v="0"/>
    <n v="0"/>
    <n v="0"/>
    <n v="0"/>
    <n v="0"/>
    <n v="0"/>
    <n v="0"/>
    <m/>
    <n v="33.9"/>
  </r>
  <r>
    <x v="261"/>
    <d v="2025-03-15T00:00:00"/>
    <x v="0"/>
    <x v="2"/>
    <x v="0"/>
    <x v="3"/>
    <s v="Free"/>
    <n v="1"/>
    <n v="1"/>
    <n v="1"/>
    <n v="0"/>
    <n v="0"/>
    <n v="0"/>
    <n v="0"/>
    <m/>
    <n v="35.4"/>
  </r>
  <r>
    <x v="262"/>
    <d v="2025-04-07T00:00:00"/>
    <x v="0"/>
    <x v="1"/>
    <x v="0"/>
    <x v="1"/>
    <s v="Basic"/>
    <n v="1"/>
    <n v="0"/>
    <n v="0"/>
    <n v="0"/>
    <n v="0"/>
    <n v="0"/>
    <n v="0"/>
    <m/>
    <n v="45"/>
  </r>
  <r>
    <x v="263"/>
    <d v="2025-02-12T00:00:00"/>
    <x v="0"/>
    <x v="3"/>
    <x v="1"/>
    <x v="1"/>
    <s v="Free"/>
    <n v="1"/>
    <n v="1"/>
    <n v="0"/>
    <n v="0"/>
    <n v="0"/>
    <n v="0"/>
    <n v="0"/>
    <m/>
    <n v="86.5"/>
  </r>
  <r>
    <x v="264"/>
    <d v="2025-05-05T00:00:00"/>
    <x v="0"/>
    <x v="1"/>
    <x v="1"/>
    <x v="4"/>
    <s v="Free"/>
    <n v="0"/>
    <n v="0"/>
    <n v="0"/>
    <n v="0"/>
    <n v="0"/>
    <n v="0"/>
    <n v="0"/>
    <m/>
    <n v="58.1"/>
  </r>
  <r>
    <x v="265"/>
    <d v="2025-03-11T00:00:00"/>
    <x v="0"/>
    <x v="1"/>
    <x v="1"/>
    <x v="3"/>
    <s v="Free"/>
    <n v="1"/>
    <n v="0"/>
    <n v="0"/>
    <n v="0"/>
    <n v="0"/>
    <n v="0"/>
    <n v="0"/>
    <m/>
    <n v="36.1"/>
  </r>
  <r>
    <x v="266"/>
    <d v="2025-02-10T00:00:00"/>
    <x v="0"/>
    <x v="2"/>
    <x v="1"/>
    <x v="4"/>
    <s v="Free"/>
    <n v="0"/>
    <n v="0"/>
    <n v="0"/>
    <n v="0"/>
    <n v="0"/>
    <n v="0"/>
    <n v="0"/>
    <m/>
    <n v="62.8"/>
  </r>
  <r>
    <x v="267"/>
    <d v="2025-04-06T00:00:00"/>
    <x v="0"/>
    <x v="3"/>
    <x v="1"/>
    <x v="1"/>
    <s v="Free"/>
    <n v="0"/>
    <n v="0"/>
    <n v="0"/>
    <n v="0"/>
    <n v="0"/>
    <n v="0"/>
    <n v="0"/>
    <m/>
    <n v="54.2"/>
  </r>
  <r>
    <x v="268"/>
    <d v="2025-01-06T00:00:00"/>
    <x v="0"/>
    <x v="2"/>
    <x v="1"/>
    <x v="3"/>
    <s v="Free"/>
    <n v="0"/>
    <n v="0"/>
    <n v="0"/>
    <n v="0"/>
    <n v="0"/>
    <n v="0"/>
    <n v="0"/>
    <m/>
    <n v="50"/>
  </r>
  <r>
    <x v="269"/>
    <d v="2025-03-25T00:00:00"/>
    <x v="0"/>
    <x v="2"/>
    <x v="2"/>
    <x v="2"/>
    <s v="Basic"/>
    <n v="1"/>
    <n v="0"/>
    <n v="0"/>
    <n v="0"/>
    <n v="0"/>
    <n v="0"/>
    <n v="0"/>
    <m/>
    <n v="62"/>
  </r>
  <r>
    <x v="270"/>
    <d v="2025-02-13T00:00:00"/>
    <x v="0"/>
    <x v="2"/>
    <x v="0"/>
    <x v="3"/>
    <s v="Free"/>
    <n v="1"/>
    <n v="0"/>
    <n v="0"/>
    <n v="0"/>
    <n v="0"/>
    <n v="0"/>
    <n v="0"/>
    <m/>
    <n v="29.3"/>
  </r>
  <r>
    <x v="271"/>
    <d v="2025-03-17T00:00:00"/>
    <x v="0"/>
    <x v="1"/>
    <x v="0"/>
    <x v="1"/>
    <s v="Free"/>
    <n v="1"/>
    <n v="0"/>
    <n v="0"/>
    <n v="0"/>
    <n v="0"/>
    <n v="0"/>
    <n v="0"/>
    <m/>
    <n v="67.900000000000006"/>
  </r>
  <r>
    <x v="272"/>
    <d v="2025-05-10T00:00:00"/>
    <x v="0"/>
    <x v="0"/>
    <x v="1"/>
    <x v="3"/>
    <s v="Free"/>
    <n v="1"/>
    <n v="1"/>
    <n v="1"/>
    <n v="0"/>
    <n v="0"/>
    <n v="0"/>
    <n v="0"/>
    <m/>
    <n v="67.599999999999994"/>
  </r>
  <r>
    <x v="273"/>
    <d v="2025-05-07T00:00:00"/>
    <x v="0"/>
    <x v="3"/>
    <x v="1"/>
    <x v="2"/>
    <s v="Basic"/>
    <n v="0"/>
    <n v="0"/>
    <n v="0"/>
    <n v="0"/>
    <n v="0"/>
    <n v="0"/>
    <n v="0"/>
    <m/>
    <n v="67.400000000000006"/>
  </r>
  <r>
    <x v="274"/>
    <d v="2025-02-26T00:00:00"/>
    <x v="0"/>
    <x v="1"/>
    <x v="0"/>
    <x v="2"/>
    <s v="Premium"/>
    <n v="0"/>
    <n v="0"/>
    <n v="0"/>
    <n v="0"/>
    <n v="0"/>
    <n v="2"/>
    <n v="0"/>
    <m/>
    <n v="53"/>
  </r>
  <r>
    <x v="275"/>
    <d v="2025-05-11T00:00:00"/>
    <x v="0"/>
    <x v="0"/>
    <x v="1"/>
    <x v="1"/>
    <s v="Basic"/>
    <n v="0"/>
    <n v="0"/>
    <n v="0"/>
    <n v="0"/>
    <n v="0"/>
    <n v="0"/>
    <n v="0"/>
    <m/>
    <n v="65.5"/>
  </r>
  <r>
    <x v="276"/>
    <d v="2025-03-20T00:00:00"/>
    <x v="0"/>
    <x v="3"/>
    <x v="1"/>
    <x v="1"/>
    <s v="Basic"/>
    <n v="1"/>
    <n v="1"/>
    <n v="0"/>
    <n v="0"/>
    <n v="0"/>
    <n v="0"/>
    <n v="0"/>
    <m/>
    <n v="49.6"/>
  </r>
  <r>
    <x v="277"/>
    <d v="2025-01-19T00:00:00"/>
    <x v="0"/>
    <x v="0"/>
    <x v="1"/>
    <x v="0"/>
    <s v="Free"/>
    <n v="1"/>
    <n v="1"/>
    <n v="0"/>
    <n v="0"/>
    <n v="0"/>
    <n v="0"/>
    <n v="0"/>
    <m/>
    <n v="74.5"/>
  </r>
  <r>
    <x v="278"/>
    <d v="2025-03-08T00:00:00"/>
    <x v="0"/>
    <x v="0"/>
    <x v="2"/>
    <x v="2"/>
    <s v="Premium"/>
    <n v="1"/>
    <n v="0"/>
    <n v="0"/>
    <n v="0"/>
    <n v="0"/>
    <n v="1"/>
    <n v="0"/>
    <m/>
    <n v="46.9"/>
  </r>
  <r>
    <x v="279"/>
    <d v="2025-04-25T00:00:00"/>
    <x v="0"/>
    <x v="0"/>
    <x v="1"/>
    <x v="1"/>
    <s v="Free"/>
    <n v="0"/>
    <n v="0"/>
    <n v="0"/>
    <n v="0"/>
    <n v="0"/>
    <n v="0"/>
    <n v="0"/>
    <m/>
    <n v="87.1"/>
  </r>
  <r>
    <x v="280"/>
    <d v="2025-04-04T00:00:00"/>
    <x v="0"/>
    <x v="0"/>
    <x v="0"/>
    <x v="1"/>
    <s v="Free"/>
    <n v="1"/>
    <n v="0"/>
    <n v="0"/>
    <n v="0"/>
    <n v="0"/>
    <n v="0"/>
    <n v="0"/>
    <m/>
    <n v="56"/>
  </r>
  <r>
    <x v="281"/>
    <d v="2025-05-01T00:00:00"/>
    <x v="0"/>
    <x v="2"/>
    <x v="1"/>
    <x v="2"/>
    <s v="Premium"/>
    <n v="1"/>
    <n v="0"/>
    <n v="0"/>
    <n v="0"/>
    <n v="0"/>
    <n v="1"/>
    <n v="0"/>
    <m/>
    <n v="61.7"/>
  </r>
  <r>
    <x v="282"/>
    <d v="2025-01-21T00:00:00"/>
    <x v="0"/>
    <x v="3"/>
    <x v="1"/>
    <x v="4"/>
    <s v="Free"/>
    <n v="1"/>
    <n v="0"/>
    <n v="0"/>
    <n v="0"/>
    <n v="0"/>
    <n v="1"/>
    <n v="0"/>
    <m/>
    <n v="70.5"/>
  </r>
  <r>
    <x v="283"/>
    <d v="2025-02-10T00:00:00"/>
    <x v="0"/>
    <x v="0"/>
    <x v="0"/>
    <x v="3"/>
    <s v="Basic"/>
    <n v="1"/>
    <n v="0"/>
    <n v="0"/>
    <n v="0"/>
    <n v="0"/>
    <n v="0"/>
    <n v="0"/>
    <m/>
    <n v="33.4"/>
  </r>
  <r>
    <x v="284"/>
    <d v="2025-05-06T00:00:00"/>
    <x v="0"/>
    <x v="3"/>
    <x v="0"/>
    <x v="1"/>
    <s v="Free"/>
    <n v="1"/>
    <n v="0"/>
    <n v="0"/>
    <n v="0"/>
    <n v="0"/>
    <n v="0"/>
    <n v="0"/>
    <m/>
    <n v="57.5"/>
  </r>
  <r>
    <x v="285"/>
    <d v="2025-02-08T00:00:00"/>
    <x v="0"/>
    <x v="0"/>
    <x v="0"/>
    <x v="2"/>
    <s v="Basic"/>
    <n v="1"/>
    <n v="1"/>
    <n v="0"/>
    <n v="0"/>
    <n v="0"/>
    <n v="0"/>
    <n v="0"/>
    <m/>
    <n v="85.7"/>
  </r>
  <r>
    <x v="286"/>
    <d v="2025-05-31T00:00:00"/>
    <x v="0"/>
    <x v="2"/>
    <x v="1"/>
    <x v="4"/>
    <s v="Free"/>
    <n v="1"/>
    <n v="0"/>
    <n v="0"/>
    <n v="0"/>
    <n v="0"/>
    <n v="0"/>
    <n v="0"/>
    <m/>
    <n v="41.9"/>
  </r>
  <r>
    <x v="287"/>
    <d v="2025-02-07T00:00:00"/>
    <x v="0"/>
    <x v="1"/>
    <x v="1"/>
    <x v="0"/>
    <s v="Basic"/>
    <n v="1"/>
    <n v="0"/>
    <n v="0"/>
    <n v="0"/>
    <n v="0"/>
    <n v="0"/>
    <n v="0"/>
    <m/>
    <n v="70.2"/>
  </r>
  <r>
    <x v="288"/>
    <d v="2025-02-10T00:00:00"/>
    <x v="0"/>
    <x v="0"/>
    <x v="1"/>
    <x v="4"/>
    <s v="Free"/>
    <n v="1"/>
    <n v="0"/>
    <n v="0"/>
    <n v="0"/>
    <n v="0"/>
    <n v="0"/>
    <n v="0"/>
    <m/>
    <n v="42.6"/>
  </r>
  <r>
    <x v="289"/>
    <d v="2025-01-31T00:00:00"/>
    <x v="0"/>
    <x v="1"/>
    <x v="1"/>
    <x v="4"/>
    <s v="Basic"/>
    <n v="0"/>
    <n v="0"/>
    <n v="0"/>
    <n v="0"/>
    <n v="0"/>
    <n v="2"/>
    <n v="0"/>
    <m/>
    <n v="30.4"/>
  </r>
  <r>
    <x v="290"/>
    <d v="2025-03-16T00:00:00"/>
    <x v="0"/>
    <x v="2"/>
    <x v="1"/>
    <x v="2"/>
    <s v="Basic"/>
    <n v="1"/>
    <n v="0"/>
    <n v="0"/>
    <n v="0"/>
    <n v="0"/>
    <n v="0"/>
    <n v="0"/>
    <m/>
    <n v="63.7"/>
  </r>
  <r>
    <x v="291"/>
    <d v="2025-04-24T00:00:00"/>
    <x v="0"/>
    <x v="3"/>
    <x v="1"/>
    <x v="4"/>
    <s v="Basic"/>
    <n v="0"/>
    <n v="0"/>
    <n v="0"/>
    <n v="0"/>
    <n v="0"/>
    <n v="0"/>
    <n v="0"/>
    <m/>
    <n v="42.7"/>
  </r>
  <r>
    <x v="292"/>
    <d v="2025-01-28T00:00:00"/>
    <x v="0"/>
    <x v="0"/>
    <x v="1"/>
    <x v="1"/>
    <s v="Free"/>
    <n v="0"/>
    <n v="0"/>
    <n v="0"/>
    <n v="0"/>
    <n v="0"/>
    <n v="0"/>
    <n v="0"/>
    <m/>
    <n v="74.3"/>
  </r>
  <r>
    <x v="293"/>
    <d v="2025-02-16T00:00:00"/>
    <x v="0"/>
    <x v="1"/>
    <x v="0"/>
    <x v="0"/>
    <s v="Free"/>
    <n v="1"/>
    <n v="0"/>
    <n v="0"/>
    <n v="0"/>
    <n v="0"/>
    <n v="0"/>
    <n v="0"/>
    <m/>
    <n v="40.6"/>
  </r>
  <r>
    <x v="294"/>
    <d v="2025-03-23T00:00:00"/>
    <x v="0"/>
    <x v="2"/>
    <x v="1"/>
    <x v="1"/>
    <s v="Premium"/>
    <n v="0"/>
    <n v="0"/>
    <n v="0"/>
    <n v="0"/>
    <n v="0"/>
    <n v="0"/>
    <n v="0"/>
    <m/>
    <n v="67"/>
  </r>
  <r>
    <x v="295"/>
    <d v="2025-05-31T00:00:00"/>
    <x v="0"/>
    <x v="2"/>
    <x v="1"/>
    <x v="2"/>
    <s v="Premium"/>
    <n v="0"/>
    <n v="0"/>
    <n v="0"/>
    <n v="0"/>
    <n v="0"/>
    <n v="0"/>
    <n v="0"/>
    <m/>
    <n v="51"/>
  </r>
  <r>
    <x v="296"/>
    <d v="2025-04-13T00:00:00"/>
    <x v="0"/>
    <x v="1"/>
    <x v="1"/>
    <x v="4"/>
    <s v="Basic"/>
    <n v="1"/>
    <n v="1"/>
    <n v="0"/>
    <n v="0"/>
    <n v="0"/>
    <n v="1"/>
    <n v="0"/>
    <m/>
    <n v="54.8"/>
  </r>
  <r>
    <x v="297"/>
    <d v="2025-05-14T00:00:00"/>
    <x v="0"/>
    <x v="0"/>
    <x v="2"/>
    <x v="0"/>
    <s v="Basic"/>
    <n v="0"/>
    <n v="0"/>
    <n v="0"/>
    <n v="0"/>
    <n v="0"/>
    <n v="0"/>
    <n v="0"/>
    <m/>
    <n v="40.799999999999997"/>
  </r>
  <r>
    <x v="298"/>
    <d v="2025-02-19T00:00:00"/>
    <x v="0"/>
    <x v="2"/>
    <x v="1"/>
    <x v="2"/>
    <s v="Free"/>
    <n v="0"/>
    <n v="0"/>
    <n v="0"/>
    <n v="0"/>
    <n v="0"/>
    <n v="0"/>
    <n v="0"/>
    <m/>
    <n v="48.8"/>
  </r>
  <r>
    <x v="299"/>
    <d v="2025-01-24T00:00:00"/>
    <x v="0"/>
    <x v="3"/>
    <x v="1"/>
    <x v="5"/>
    <s v="Basic"/>
    <n v="1"/>
    <n v="1"/>
    <n v="1"/>
    <n v="1"/>
    <n v="1198.69"/>
    <n v="1"/>
    <n v="0"/>
    <n v="6"/>
    <n v="88.9"/>
  </r>
  <r>
    <x v="300"/>
    <d v="2025-05-09T00:00:00"/>
    <x v="0"/>
    <x v="0"/>
    <x v="1"/>
    <x v="0"/>
    <s v="Basic"/>
    <n v="1"/>
    <n v="1"/>
    <n v="1"/>
    <n v="0"/>
    <n v="0"/>
    <n v="1"/>
    <n v="0"/>
    <m/>
    <n v="60.5"/>
  </r>
  <r>
    <x v="301"/>
    <d v="2025-02-11T00:00:00"/>
    <x v="0"/>
    <x v="0"/>
    <x v="1"/>
    <x v="1"/>
    <s v="Basic"/>
    <n v="1"/>
    <n v="0"/>
    <n v="0"/>
    <n v="0"/>
    <n v="0"/>
    <n v="0"/>
    <n v="0"/>
    <m/>
    <n v="63.6"/>
  </r>
  <r>
    <x v="302"/>
    <d v="2025-02-26T00:00:00"/>
    <x v="0"/>
    <x v="0"/>
    <x v="0"/>
    <x v="1"/>
    <s v="Basic"/>
    <n v="1"/>
    <n v="1"/>
    <n v="1"/>
    <n v="1"/>
    <n v="6788.95"/>
    <n v="0"/>
    <n v="0"/>
    <n v="17"/>
    <n v="58.4"/>
  </r>
  <r>
    <x v="303"/>
    <d v="2025-02-12T00:00:00"/>
    <x v="0"/>
    <x v="3"/>
    <x v="1"/>
    <x v="4"/>
    <s v="Premium"/>
    <n v="0"/>
    <n v="0"/>
    <n v="0"/>
    <n v="0"/>
    <n v="0"/>
    <n v="0"/>
    <n v="0"/>
    <m/>
    <n v="52.7"/>
  </r>
  <r>
    <x v="304"/>
    <d v="2025-01-05T00:00:00"/>
    <x v="0"/>
    <x v="3"/>
    <x v="2"/>
    <x v="4"/>
    <s v="Premium"/>
    <n v="1"/>
    <n v="1"/>
    <n v="1"/>
    <n v="0"/>
    <n v="0"/>
    <n v="2"/>
    <n v="0"/>
    <m/>
    <n v="48.9"/>
  </r>
  <r>
    <x v="305"/>
    <d v="2025-05-19T00:00:00"/>
    <x v="0"/>
    <x v="1"/>
    <x v="1"/>
    <x v="1"/>
    <s v="Premium"/>
    <n v="0"/>
    <n v="0"/>
    <n v="0"/>
    <n v="0"/>
    <n v="0"/>
    <n v="0"/>
    <n v="0"/>
    <m/>
    <n v="79.7"/>
  </r>
  <r>
    <x v="306"/>
    <d v="2025-02-02T00:00:00"/>
    <x v="0"/>
    <x v="0"/>
    <x v="1"/>
    <x v="4"/>
    <s v="Free"/>
    <n v="1"/>
    <n v="0"/>
    <n v="0"/>
    <n v="0"/>
    <n v="0"/>
    <n v="0"/>
    <n v="0"/>
    <m/>
    <n v="44.9"/>
  </r>
  <r>
    <x v="307"/>
    <d v="2025-01-30T00:00:00"/>
    <x v="0"/>
    <x v="1"/>
    <x v="2"/>
    <x v="2"/>
    <s v="Free"/>
    <n v="1"/>
    <n v="1"/>
    <n v="1"/>
    <n v="1"/>
    <n v="409.39"/>
    <n v="0"/>
    <n v="0"/>
    <n v="10"/>
    <n v="38.799999999999997"/>
  </r>
  <r>
    <x v="308"/>
    <d v="2025-05-01T00:00:00"/>
    <x v="0"/>
    <x v="3"/>
    <x v="0"/>
    <x v="0"/>
    <s v="Free"/>
    <n v="0"/>
    <n v="0"/>
    <n v="0"/>
    <n v="0"/>
    <n v="0"/>
    <n v="0"/>
    <n v="0"/>
    <m/>
    <n v="70"/>
  </r>
  <r>
    <x v="309"/>
    <d v="2025-05-16T00:00:00"/>
    <x v="0"/>
    <x v="3"/>
    <x v="0"/>
    <x v="3"/>
    <s v="Basic"/>
    <n v="1"/>
    <n v="0"/>
    <n v="0"/>
    <n v="0"/>
    <n v="0"/>
    <n v="0"/>
    <n v="0"/>
    <m/>
    <n v="77.7"/>
  </r>
  <r>
    <x v="310"/>
    <d v="2025-03-08T00:00:00"/>
    <x v="0"/>
    <x v="1"/>
    <x v="1"/>
    <x v="1"/>
    <s v="Free"/>
    <n v="0"/>
    <n v="0"/>
    <n v="0"/>
    <n v="0"/>
    <n v="0"/>
    <n v="0"/>
    <n v="0"/>
    <m/>
    <n v="71.2"/>
  </r>
  <r>
    <x v="311"/>
    <d v="2025-04-04T00:00:00"/>
    <x v="0"/>
    <x v="0"/>
    <x v="1"/>
    <x v="1"/>
    <s v="Basic"/>
    <n v="1"/>
    <n v="0"/>
    <n v="0"/>
    <n v="0"/>
    <n v="0"/>
    <n v="0"/>
    <n v="0"/>
    <m/>
    <n v="43.8"/>
  </r>
  <r>
    <x v="312"/>
    <d v="2025-05-30T00:00:00"/>
    <x v="0"/>
    <x v="3"/>
    <x v="2"/>
    <x v="1"/>
    <s v="Free"/>
    <n v="1"/>
    <n v="0"/>
    <n v="0"/>
    <n v="0"/>
    <n v="0"/>
    <n v="0"/>
    <n v="0"/>
    <m/>
    <n v="50.9"/>
  </r>
  <r>
    <x v="313"/>
    <d v="2025-01-05T00:00:00"/>
    <x v="0"/>
    <x v="1"/>
    <x v="1"/>
    <x v="1"/>
    <s v="Premium"/>
    <n v="0"/>
    <n v="0"/>
    <n v="0"/>
    <n v="0"/>
    <n v="0"/>
    <n v="0"/>
    <n v="0"/>
    <m/>
    <n v="58.5"/>
  </r>
  <r>
    <x v="314"/>
    <d v="2025-01-20T00:00:00"/>
    <x v="0"/>
    <x v="2"/>
    <x v="1"/>
    <x v="1"/>
    <s v="Free"/>
    <n v="1"/>
    <n v="1"/>
    <n v="1"/>
    <n v="0"/>
    <n v="0"/>
    <n v="0"/>
    <n v="0"/>
    <m/>
    <n v="53.6"/>
  </r>
  <r>
    <x v="315"/>
    <d v="2025-05-01T00:00:00"/>
    <x v="0"/>
    <x v="2"/>
    <x v="1"/>
    <x v="0"/>
    <s v="Free"/>
    <n v="0"/>
    <n v="0"/>
    <n v="0"/>
    <n v="0"/>
    <n v="0"/>
    <n v="0"/>
    <n v="0"/>
    <m/>
    <n v="54.9"/>
  </r>
  <r>
    <x v="316"/>
    <d v="2025-03-05T00:00:00"/>
    <x v="0"/>
    <x v="0"/>
    <x v="0"/>
    <x v="1"/>
    <s v="Premium"/>
    <n v="0"/>
    <n v="0"/>
    <n v="0"/>
    <n v="0"/>
    <n v="0"/>
    <n v="0"/>
    <n v="0"/>
    <m/>
    <n v="57.3"/>
  </r>
  <r>
    <x v="317"/>
    <d v="2025-04-01T00:00:00"/>
    <x v="0"/>
    <x v="2"/>
    <x v="0"/>
    <x v="3"/>
    <s v="Free"/>
    <n v="1"/>
    <n v="0"/>
    <n v="0"/>
    <n v="0"/>
    <n v="0"/>
    <n v="0"/>
    <n v="0"/>
    <m/>
    <n v="52.1"/>
  </r>
  <r>
    <x v="318"/>
    <d v="2025-05-03T00:00:00"/>
    <x v="0"/>
    <x v="0"/>
    <x v="1"/>
    <x v="1"/>
    <s v="Free"/>
    <n v="1"/>
    <n v="0"/>
    <n v="0"/>
    <n v="0"/>
    <n v="0"/>
    <n v="0"/>
    <n v="0"/>
    <m/>
    <n v="80"/>
  </r>
  <r>
    <x v="319"/>
    <d v="2025-03-06T00:00:00"/>
    <x v="0"/>
    <x v="3"/>
    <x v="0"/>
    <x v="2"/>
    <s v="Premium"/>
    <n v="1"/>
    <n v="0"/>
    <n v="0"/>
    <n v="0"/>
    <n v="0"/>
    <n v="0"/>
    <n v="0"/>
    <m/>
    <n v="39.299999999999997"/>
  </r>
  <r>
    <x v="320"/>
    <d v="2025-04-01T00:00:00"/>
    <x v="0"/>
    <x v="0"/>
    <x v="0"/>
    <x v="3"/>
    <s v="Premium"/>
    <n v="0"/>
    <n v="0"/>
    <n v="0"/>
    <n v="0"/>
    <n v="0"/>
    <n v="0"/>
    <n v="0"/>
    <m/>
    <n v="45.7"/>
  </r>
  <r>
    <x v="321"/>
    <d v="2025-02-09T00:00:00"/>
    <x v="0"/>
    <x v="0"/>
    <x v="0"/>
    <x v="4"/>
    <s v="Basic"/>
    <n v="1"/>
    <n v="0"/>
    <n v="0"/>
    <n v="0"/>
    <n v="0"/>
    <n v="2"/>
    <n v="0"/>
    <m/>
    <n v="61.2"/>
  </r>
  <r>
    <x v="322"/>
    <d v="2025-04-12T00:00:00"/>
    <x v="0"/>
    <x v="1"/>
    <x v="1"/>
    <x v="1"/>
    <s v="Basic"/>
    <n v="1"/>
    <n v="1"/>
    <n v="0"/>
    <n v="0"/>
    <n v="0"/>
    <n v="0"/>
    <n v="0"/>
    <m/>
    <n v="66.2"/>
  </r>
  <r>
    <x v="323"/>
    <d v="2025-03-18T00:00:00"/>
    <x v="0"/>
    <x v="2"/>
    <x v="1"/>
    <x v="4"/>
    <s v="Free"/>
    <n v="1"/>
    <n v="1"/>
    <n v="1"/>
    <n v="0"/>
    <n v="0"/>
    <n v="0"/>
    <n v="0"/>
    <m/>
    <n v="61.3"/>
  </r>
  <r>
    <x v="324"/>
    <d v="2025-04-03T00:00:00"/>
    <x v="0"/>
    <x v="2"/>
    <x v="1"/>
    <x v="2"/>
    <s v="Free"/>
    <n v="1"/>
    <n v="0"/>
    <n v="0"/>
    <n v="0"/>
    <n v="0"/>
    <n v="0"/>
    <n v="0"/>
    <m/>
    <n v="72.2"/>
  </r>
  <r>
    <x v="325"/>
    <d v="2025-04-02T00:00:00"/>
    <x v="0"/>
    <x v="1"/>
    <x v="1"/>
    <x v="0"/>
    <s v="Premium"/>
    <n v="1"/>
    <n v="1"/>
    <n v="1"/>
    <n v="0"/>
    <n v="0"/>
    <n v="0"/>
    <n v="0"/>
    <m/>
    <n v="84"/>
  </r>
  <r>
    <x v="326"/>
    <d v="2025-05-10T00:00:00"/>
    <x v="0"/>
    <x v="1"/>
    <x v="0"/>
    <x v="0"/>
    <s v="Basic"/>
    <n v="0"/>
    <n v="0"/>
    <n v="0"/>
    <n v="0"/>
    <n v="0"/>
    <n v="0"/>
    <n v="0"/>
    <m/>
    <n v="59.8"/>
  </r>
  <r>
    <x v="327"/>
    <d v="2025-04-29T00:00:00"/>
    <x v="0"/>
    <x v="1"/>
    <x v="0"/>
    <x v="2"/>
    <s v="Free"/>
    <n v="1"/>
    <n v="0"/>
    <n v="0"/>
    <n v="0"/>
    <n v="0"/>
    <n v="0"/>
    <n v="0"/>
    <m/>
    <n v="64.900000000000006"/>
  </r>
  <r>
    <x v="328"/>
    <d v="2025-02-27T00:00:00"/>
    <x v="0"/>
    <x v="3"/>
    <x v="1"/>
    <x v="2"/>
    <s v="Free"/>
    <n v="1"/>
    <n v="0"/>
    <n v="0"/>
    <n v="0"/>
    <n v="0"/>
    <n v="0"/>
    <n v="0"/>
    <m/>
    <n v="66.8"/>
  </r>
  <r>
    <x v="329"/>
    <d v="2025-04-10T00:00:00"/>
    <x v="0"/>
    <x v="0"/>
    <x v="0"/>
    <x v="1"/>
    <s v="Premium"/>
    <n v="0"/>
    <n v="0"/>
    <n v="0"/>
    <n v="0"/>
    <n v="0"/>
    <n v="0"/>
    <n v="0"/>
    <m/>
    <n v="70.900000000000006"/>
  </r>
  <r>
    <x v="330"/>
    <d v="2025-02-13T00:00:00"/>
    <x v="0"/>
    <x v="2"/>
    <x v="1"/>
    <x v="1"/>
    <s v="Free"/>
    <n v="1"/>
    <n v="1"/>
    <n v="1"/>
    <n v="1"/>
    <n v="426.82"/>
    <n v="1"/>
    <n v="0"/>
    <n v="14"/>
    <n v="68.8"/>
  </r>
  <r>
    <x v="331"/>
    <d v="2025-05-03T00:00:00"/>
    <x v="0"/>
    <x v="0"/>
    <x v="1"/>
    <x v="1"/>
    <s v="Basic"/>
    <n v="1"/>
    <n v="0"/>
    <n v="0"/>
    <n v="0"/>
    <n v="0"/>
    <n v="0"/>
    <n v="0"/>
    <m/>
    <n v="72.400000000000006"/>
  </r>
  <r>
    <x v="332"/>
    <d v="2025-03-10T00:00:00"/>
    <x v="0"/>
    <x v="2"/>
    <x v="1"/>
    <x v="1"/>
    <s v="Basic"/>
    <n v="0"/>
    <n v="0"/>
    <n v="0"/>
    <n v="0"/>
    <n v="0"/>
    <n v="0"/>
    <n v="0"/>
    <m/>
    <n v="63.3"/>
  </r>
  <r>
    <x v="333"/>
    <d v="2025-01-10T00:00:00"/>
    <x v="0"/>
    <x v="1"/>
    <x v="2"/>
    <x v="4"/>
    <s v="Free"/>
    <n v="1"/>
    <n v="0"/>
    <n v="0"/>
    <n v="0"/>
    <n v="0"/>
    <n v="0"/>
    <n v="0"/>
    <m/>
    <n v="30.8"/>
  </r>
  <r>
    <x v="334"/>
    <d v="2025-01-16T00:00:00"/>
    <x v="0"/>
    <x v="3"/>
    <x v="1"/>
    <x v="0"/>
    <s v="Basic"/>
    <n v="1"/>
    <n v="1"/>
    <n v="1"/>
    <n v="1"/>
    <n v="874.55"/>
    <n v="0"/>
    <n v="0"/>
    <n v="9"/>
    <n v="44.2"/>
  </r>
  <r>
    <x v="335"/>
    <d v="2025-02-11T00:00:00"/>
    <x v="0"/>
    <x v="3"/>
    <x v="0"/>
    <x v="1"/>
    <s v="Premium"/>
    <n v="1"/>
    <n v="1"/>
    <n v="1"/>
    <n v="1"/>
    <n v="2206.88"/>
    <n v="0"/>
    <n v="0"/>
    <n v="10"/>
    <n v="56.2"/>
  </r>
  <r>
    <x v="336"/>
    <d v="2025-04-13T00:00:00"/>
    <x v="0"/>
    <x v="1"/>
    <x v="1"/>
    <x v="1"/>
    <s v="Free"/>
    <n v="0"/>
    <n v="0"/>
    <n v="0"/>
    <n v="0"/>
    <n v="0"/>
    <n v="0"/>
    <n v="0"/>
    <m/>
    <n v="40.4"/>
  </r>
  <r>
    <x v="337"/>
    <d v="2025-02-08T00:00:00"/>
    <x v="0"/>
    <x v="2"/>
    <x v="1"/>
    <x v="2"/>
    <s v="Free"/>
    <n v="1"/>
    <n v="1"/>
    <n v="1"/>
    <n v="0"/>
    <n v="0"/>
    <n v="0"/>
    <n v="0"/>
    <m/>
    <n v="68.099999999999994"/>
  </r>
  <r>
    <x v="338"/>
    <d v="2025-03-31T00:00:00"/>
    <x v="0"/>
    <x v="1"/>
    <x v="0"/>
    <x v="3"/>
    <s v="Free"/>
    <n v="1"/>
    <n v="0"/>
    <n v="0"/>
    <n v="0"/>
    <n v="0"/>
    <n v="0"/>
    <n v="0"/>
    <m/>
    <n v="86.3"/>
  </r>
  <r>
    <x v="339"/>
    <d v="2025-01-31T00:00:00"/>
    <x v="0"/>
    <x v="1"/>
    <x v="0"/>
    <x v="3"/>
    <s v="Free"/>
    <n v="1"/>
    <n v="1"/>
    <n v="0"/>
    <n v="0"/>
    <n v="0"/>
    <n v="0"/>
    <n v="0"/>
    <m/>
    <n v="42.9"/>
  </r>
  <r>
    <x v="340"/>
    <d v="2025-05-08T00:00:00"/>
    <x v="0"/>
    <x v="1"/>
    <x v="2"/>
    <x v="1"/>
    <s v="Free"/>
    <n v="0"/>
    <n v="0"/>
    <n v="0"/>
    <n v="0"/>
    <n v="0"/>
    <n v="0"/>
    <n v="0"/>
    <m/>
    <n v="61.4"/>
  </r>
  <r>
    <x v="341"/>
    <d v="2025-03-15T00:00:00"/>
    <x v="0"/>
    <x v="0"/>
    <x v="1"/>
    <x v="2"/>
    <s v="Free"/>
    <n v="1"/>
    <n v="0"/>
    <n v="0"/>
    <n v="0"/>
    <n v="0"/>
    <n v="1"/>
    <n v="0"/>
    <m/>
    <n v="73.3"/>
  </r>
  <r>
    <x v="342"/>
    <d v="2025-01-13T00:00:00"/>
    <x v="0"/>
    <x v="3"/>
    <x v="1"/>
    <x v="3"/>
    <s v="Basic"/>
    <n v="1"/>
    <n v="0"/>
    <n v="0"/>
    <n v="0"/>
    <n v="0"/>
    <n v="0"/>
    <n v="0"/>
    <m/>
    <n v="59.4"/>
  </r>
  <r>
    <x v="343"/>
    <d v="2025-03-07T00:00:00"/>
    <x v="0"/>
    <x v="3"/>
    <x v="2"/>
    <x v="1"/>
    <s v="Basic"/>
    <n v="1"/>
    <n v="0"/>
    <n v="0"/>
    <n v="0"/>
    <n v="0"/>
    <n v="0"/>
    <n v="0"/>
    <m/>
    <n v="35.200000000000003"/>
  </r>
  <r>
    <x v="344"/>
    <d v="2025-02-10T00:00:00"/>
    <x v="0"/>
    <x v="3"/>
    <x v="1"/>
    <x v="4"/>
    <s v="Premium"/>
    <n v="1"/>
    <n v="1"/>
    <n v="0"/>
    <n v="0"/>
    <n v="0"/>
    <n v="0"/>
    <n v="0"/>
    <m/>
    <n v="55.3"/>
  </r>
  <r>
    <x v="345"/>
    <d v="2025-03-12T00:00:00"/>
    <x v="0"/>
    <x v="2"/>
    <x v="1"/>
    <x v="2"/>
    <s v="Free"/>
    <n v="0"/>
    <n v="0"/>
    <n v="0"/>
    <n v="0"/>
    <n v="0"/>
    <n v="0"/>
    <n v="0"/>
    <m/>
    <n v="37.5"/>
  </r>
  <r>
    <x v="346"/>
    <d v="2025-01-03T00:00:00"/>
    <x v="0"/>
    <x v="3"/>
    <x v="0"/>
    <x v="2"/>
    <s v="Free"/>
    <n v="0"/>
    <n v="0"/>
    <n v="0"/>
    <n v="0"/>
    <n v="0"/>
    <n v="1"/>
    <n v="0"/>
    <m/>
    <n v="66.400000000000006"/>
  </r>
  <r>
    <x v="347"/>
    <d v="2025-04-28T00:00:00"/>
    <x v="0"/>
    <x v="0"/>
    <x v="2"/>
    <x v="4"/>
    <s v="Basic"/>
    <n v="1"/>
    <n v="0"/>
    <n v="0"/>
    <n v="0"/>
    <n v="0"/>
    <n v="0"/>
    <n v="0"/>
    <m/>
    <n v="61.9"/>
  </r>
  <r>
    <x v="348"/>
    <d v="2025-04-17T00:00:00"/>
    <x v="0"/>
    <x v="2"/>
    <x v="1"/>
    <x v="1"/>
    <s v="Free"/>
    <n v="0"/>
    <n v="0"/>
    <n v="0"/>
    <n v="0"/>
    <n v="0"/>
    <n v="0"/>
    <n v="0"/>
    <m/>
    <n v="56"/>
  </r>
  <r>
    <x v="349"/>
    <d v="2025-05-23T00:00:00"/>
    <x v="0"/>
    <x v="3"/>
    <x v="0"/>
    <x v="4"/>
    <s v="Basic"/>
    <n v="1"/>
    <n v="0"/>
    <n v="0"/>
    <n v="0"/>
    <n v="0"/>
    <n v="0"/>
    <n v="0"/>
    <m/>
    <n v="55.5"/>
  </r>
  <r>
    <x v="350"/>
    <d v="2025-02-19T00:00:00"/>
    <x v="0"/>
    <x v="1"/>
    <x v="2"/>
    <x v="3"/>
    <s v="Basic"/>
    <n v="1"/>
    <n v="0"/>
    <n v="0"/>
    <n v="0"/>
    <n v="0"/>
    <n v="0"/>
    <n v="0"/>
    <m/>
    <n v="37.200000000000003"/>
  </r>
  <r>
    <x v="351"/>
    <d v="2025-01-18T00:00:00"/>
    <x v="0"/>
    <x v="3"/>
    <x v="0"/>
    <x v="1"/>
    <s v="Free"/>
    <n v="1"/>
    <n v="1"/>
    <n v="0"/>
    <n v="0"/>
    <n v="0"/>
    <n v="1"/>
    <n v="0"/>
    <m/>
    <n v="70.5"/>
  </r>
  <r>
    <x v="352"/>
    <d v="2025-04-17T00:00:00"/>
    <x v="0"/>
    <x v="0"/>
    <x v="1"/>
    <x v="1"/>
    <s v="Free"/>
    <n v="0"/>
    <n v="0"/>
    <n v="0"/>
    <n v="0"/>
    <n v="0"/>
    <n v="0"/>
    <n v="0"/>
    <m/>
    <n v="61.2"/>
  </r>
  <r>
    <x v="353"/>
    <d v="2025-04-12T00:00:00"/>
    <x v="0"/>
    <x v="2"/>
    <x v="2"/>
    <x v="4"/>
    <s v="Free"/>
    <n v="1"/>
    <n v="1"/>
    <n v="1"/>
    <n v="0"/>
    <n v="0"/>
    <n v="0"/>
    <n v="0"/>
    <m/>
    <n v="64.599999999999994"/>
  </r>
  <r>
    <x v="354"/>
    <d v="2025-05-16T00:00:00"/>
    <x v="0"/>
    <x v="2"/>
    <x v="1"/>
    <x v="0"/>
    <s v="Free"/>
    <n v="1"/>
    <n v="1"/>
    <n v="0"/>
    <n v="0"/>
    <n v="0"/>
    <n v="0"/>
    <n v="0"/>
    <m/>
    <n v="91.7"/>
  </r>
  <r>
    <x v="355"/>
    <d v="2025-03-24T00:00:00"/>
    <x v="0"/>
    <x v="1"/>
    <x v="1"/>
    <x v="4"/>
    <s v="Free"/>
    <n v="0"/>
    <n v="0"/>
    <n v="0"/>
    <n v="0"/>
    <n v="0"/>
    <n v="0"/>
    <n v="0"/>
    <m/>
    <n v="46"/>
  </r>
  <r>
    <x v="356"/>
    <d v="2025-02-16T00:00:00"/>
    <x v="0"/>
    <x v="1"/>
    <x v="1"/>
    <x v="1"/>
    <s v="Basic"/>
    <n v="0"/>
    <n v="0"/>
    <n v="0"/>
    <n v="0"/>
    <n v="0"/>
    <n v="0"/>
    <n v="0"/>
    <m/>
    <n v="50.8"/>
  </r>
  <r>
    <x v="357"/>
    <d v="2025-03-19T00:00:00"/>
    <x v="0"/>
    <x v="0"/>
    <x v="2"/>
    <x v="1"/>
    <s v="Free"/>
    <n v="1"/>
    <n v="1"/>
    <n v="1"/>
    <n v="0"/>
    <n v="0"/>
    <n v="0"/>
    <n v="0"/>
    <m/>
    <n v="52.8"/>
  </r>
  <r>
    <x v="358"/>
    <d v="2025-04-21T00:00:00"/>
    <x v="0"/>
    <x v="3"/>
    <x v="1"/>
    <x v="1"/>
    <s v="Basic"/>
    <n v="1"/>
    <n v="1"/>
    <n v="1"/>
    <n v="0"/>
    <n v="0"/>
    <n v="0"/>
    <n v="0"/>
    <m/>
    <n v="63"/>
  </r>
  <r>
    <x v="359"/>
    <d v="2025-01-11T00:00:00"/>
    <x v="0"/>
    <x v="1"/>
    <x v="1"/>
    <x v="1"/>
    <s v="Free"/>
    <n v="0"/>
    <n v="0"/>
    <n v="0"/>
    <n v="0"/>
    <n v="0"/>
    <n v="0"/>
    <n v="0"/>
    <m/>
    <n v="28.4"/>
  </r>
  <r>
    <x v="360"/>
    <d v="2025-04-24T00:00:00"/>
    <x v="0"/>
    <x v="1"/>
    <x v="0"/>
    <x v="1"/>
    <s v="Free"/>
    <n v="1"/>
    <n v="1"/>
    <n v="0"/>
    <n v="0"/>
    <n v="0"/>
    <n v="0"/>
    <n v="0"/>
    <m/>
    <n v="65.599999999999994"/>
  </r>
  <r>
    <x v="361"/>
    <d v="2025-03-13T00:00:00"/>
    <x v="0"/>
    <x v="0"/>
    <x v="1"/>
    <x v="4"/>
    <s v="Premium"/>
    <n v="1"/>
    <n v="1"/>
    <n v="1"/>
    <n v="0"/>
    <n v="0"/>
    <n v="0"/>
    <n v="0"/>
    <m/>
    <n v="54.7"/>
  </r>
  <r>
    <x v="362"/>
    <d v="2025-01-30T00:00:00"/>
    <x v="0"/>
    <x v="0"/>
    <x v="1"/>
    <x v="4"/>
    <s v="Basic"/>
    <n v="0"/>
    <n v="0"/>
    <n v="0"/>
    <n v="0"/>
    <n v="0"/>
    <n v="0"/>
    <n v="0"/>
    <m/>
    <n v="36.1"/>
  </r>
  <r>
    <x v="363"/>
    <d v="2025-05-08T00:00:00"/>
    <x v="0"/>
    <x v="3"/>
    <x v="1"/>
    <x v="4"/>
    <s v="Basic"/>
    <n v="1"/>
    <n v="1"/>
    <n v="1"/>
    <n v="0"/>
    <n v="0"/>
    <n v="0"/>
    <n v="0"/>
    <m/>
    <n v="70.400000000000006"/>
  </r>
  <r>
    <x v="364"/>
    <d v="2025-01-08T00:00:00"/>
    <x v="0"/>
    <x v="2"/>
    <x v="0"/>
    <x v="4"/>
    <s v="Free"/>
    <n v="1"/>
    <n v="0"/>
    <n v="0"/>
    <n v="0"/>
    <n v="0"/>
    <n v="0"/>
    <n v="0"/>
    <m/>
    <n v="56.4"/>
  </r>
  <r>
    <x v="365"/>
    <d v="2025-05-03T00:00:00"/>
    <x v="0"/>
    <x v="3"/>
    <x v="1"/>
    <x v="1"/>
    <s v="Free"/>
    <n v="1"/>
    <n v="0"/>
    <n v="0"/>
    <n v="0"/>
    <n v="0"/>
    <n v="0"/>
    <n v="0"/>
    <m/>
    <n v="79.2"/>
  </r>
  <r>
    <x v="366"/>
    <d v="2025-02-12T00:00:00"/>
    <x v="0"/>
    <x v="2"/>
    <x v="1"/>
    <x v="2"/>
    <s v="Free"/>
    <n v="1"/>
    <n v="1"/>
    <n v="1"/>
    <n v="0"/>
    <n v="0"/>
    <n v="0"/>
    <n v="0"/>
    <m/>
    <n v="60.1"/>
  </r>
  <r>
    <x v="367"/>
    <d v="2025-02-25T00:00:00"/>
    <x v="0"/>
    <x v="3"/>
    <x v="2"/>
    <x v="1"/>
    <s v="Free"/>
    <n v="0"/>
    <n v="0"/>
    <n v="0"/>
    <n v="0"/>
    <n v="0"/>
    <n v="0"/>
    <n v="0"/>
    <m/>
    <n v="58"/>
  </r>
  <r>
    <x v="368"/>
    <d v="2025-04-14T00:00:00"/>
    <x v="0"/>
    <x v="3"/>
    <x v="1"/>
    <x v="3"/>
    <s v="Free"/>
    <n v="1"/>
    <n v="1"/>
    <n v="1"/>
    <n v="0"/>
    <n v="0"/>
    <n v="0"/>
    <n v="0"/>
    <m/>
    <n v="69"/>
  </r>
  <r>
    <x v="369"/>
    <d v="2025-01-08T00:00:00"/>
    <x v="0"/>
    <x v="0"/>
    <x v="1"/>
    <x v="3"/>
    <s v="Premium"/>
    <n v="1"/>
    <n v="1"/>
    <n v="1"/>
    <n v="0"/>
    <n v="0"/>
    <n v="1"/>
    <n v="0"/>
    <m/>
    <n v="80.8"/>
  </r>
  <r>
    <x v="370"/>
    <d v="2025-03-14T00:00:00"/>
    <x v="0"/>
    <x v="2"/>
    <x v="1"/>
    <x v="0"/>
    <s v="Free"/>
    <n v="0"/>
    <n v="0"/>
    <n v="0"/>
    <n v="0"/>
    <n v="0"/>
    <n v="0"/>
    <n v="0"/>
    <m/>
    <n v="32.799999999999997"/>
  </r>
  <r>
    <x v="371"/>
    <d v="2025-04-29T00:00:00"/>
    <x v="0"/>
    <x v="0"/>
    <x v="0"/>
    <x v="2"/>
    <s v="Premium"/>
    <n v="1"/>
    <n v="0"/>
    <n v="0"/>
    <n v="0"/>
    <n v="0"/>
    <n v="0"/>
    <n v="0"/>
    <m/>
    <n v="56"/>
  </r>
  <r>
    <x v="372"/>
    <d v="2025-05-01T00:00:00"/>
    <x v="0"/>
    <x v="2"/>
    <x v="0"/>
    <x v="4"/>
    <s v="Free"/>
    <n v="1"/>
    <n v="0"/>
    <n v="0"/>
    <n v="0"/>
    <n v="0"/>
    <n v="0"/>
    <n v="0"/>
    <m/>
    <n v="76.400000000000006"/>
  </r>
  <r>
    <x v="373"/>
    <d v="2025-03-19T00:00:00"/>
    <x v="0"/>
    <x v="0"/>
    <x v="1"/>
    <x v="3"/>
    <s v="Free"/>
    <n v="1"/>
    <n v="0"/>
    <n v="0"/>
    <n v="0"/>
    <n v="0"/>
    <n v="0"/>
    <n v="0"/>
    <m/>
    <n v="28.5"/>
  </r>
  <r>
    <x v="374"/>
    <d v="2025-05-01T00:00:00"/>
    <x v="0"/>
    <x v="3"/>
    <x v="0"/>
    <x v="4"/>
    <s v="Basic"/>
    <n v="1"/>
    <n v="1"/>
    <n v="1"/>
    <n v="0"/>
    <n v="0"/>
    <n v="0"/>
    <n v="0"/>
    <m/>
    <n v="48.3"/>
  </r>
  <r>
    <x v="375"/>
    <d v="2025-03-14T00:00:00"/>
    <x v="0"/>
    <x v="1"/>
    <x v="1"/>
    <x v="1"/>
    <s v="Free"/>
    <n v="1"/>
    <n v="1"/>
    <n v="0"/>
    <n v="0"/>
    <n v="0"/>
    <n v="0"/>
    <n v="0"/>
    <m/>
    <n v="43.4"/>
  </r>
  <r>
    <x v="376"/>
    <d v="2025-03-23T00:00:00"/>
    <x v="0"/>
    <x v="0"/>
    <x v="1"/>
    <x v="2"/>
    <s v="Free"/>
    <n v="0"/>
    <n v="0"/>
    <n v="0"/>
    <n v="0"/>
    <n v="0"/>
    <n v="0"/>
    <n v="0"/>
    <m/>
    <n v="43"/>
  </r>
  <r>
    <x v="377"/>
    <d v="2025-02-08T00:00:00"/>
    <x v="0"/>
    <x v="2"/>
    <x v="1"/>
    <x v="3"/>
    <s v="Basic"/>
    <n v="1"/>
    <n v="1"/>
    <n v="1"/>
    <n v="0"/>
    <n v="0"/>
    <n v="0"/>
    <n v="0"/>
    <m/>
    <n v="91.8"/>
  </r>
  <r>
    <x v="378"/>
    <d v="2025-04-15T00:00:00"/>
    <x v="0"/>
    <x v="1"/>
    <x v="2"/>
    <x v="2"/>
    <s v="Basic"/>
    <n v="1"/>
    <n v="0"/>
    <n v="0"/>
    <n v="0"/>
    <n v="0"/>
    <n v="1"/>
    <n v="0"/>
    <m/>
    <n v="69.3"/>
  </r>
  <r>
    <x v="379"/>
    <d v="2025-01-03T00:00:00"/>
    <x v="0"/>
    <x v="3"/>
    <x v="0"/>
    <x v="2"/>
    <s v="Basic"/>
    <n v="1"/>
    <n v="0"/>
    <n v="0"/>
    <n v="0"/>
    <n v="0"/>
    <n v="0"/>
    <n v="0"/>
    <m/>
    <n v="58.9"/>
  </r>
  <r>
    <x v="380"/>
    <d v="2025-03-23T00:00:00"/>
    <x v="0"/>
    <x v="1"/>
    <x v="1"/>
    <x v="4"/>
    <s v="Free"/>
    <n v="1"/>
    <n v="1"/>
    <n v="1"/>
    <n v="0"/>
    <n v="0"/>
    <n v="0"/>
    <n v="0"/>
    <m/>
    <n v="76"/>
  </r>
  <r>
    <x v="381"/>
    <d v="2025-05-27T00:00:00"/>
    <x v="0"/>
    <x v="3"/>
    <x v="1"/>
    <x v="3"/>
    <s v="Premium"/>
    <n v="1"/>
    <n v="0"/>
    <n v="0"/>
    <n v="0"/>
    <n v="0"/>
    <n v="0"/>
    <n v="0"/>
    <m/>
    <n v="46"/>
  </r>
  <r>
    <x v="382"/>
    <d v="2025-04-30T00:00:00"/>
    <x v="0"/>
    <x v="2"/>
    <x v="1"/>
    <x v="1"/>
    <s v="Free"/>
    <n v="1"/>
    <n v="0"/>
    <n v="0"/>
    <n v="0"/>
    <n v="0"/>
    <n v="0"/>
    <n v="0"/>
    <m/>
    <n v="54.1"/>
  </r>
  <r>
    <x v="383"/>
    <d v="2025-03-07T00:00:00"/>
    <x v="0"/>
    <x v="1"/>
    <x v="1"/>
    <x v="4"/>
    <s v="Basic"/>
    <n v="1"/>
    <n v="0"/>
    <n v="0"/>
    <n v="0"/>
    <n v="0"/>
    <n v="0"/>
    <n v="0"/>
    <m/>
    <n v="82.4"/>
  </r>
  <r>
    <x v="384"/>
    <d v="2025-05-10T00:00:00"/>
    <x v="0"/>
    <x v="3"/>
    <x v="1"/>
    <x v="1"/>
    <s v="Basic"/>
    <n v="1"/>
    <n v="1"/>
    <n v="1"/>
    <n v="0"/>
    <n v="0"/>
    <n v="0"/>
    <n v="0"/>
    <m/>
    <n v="71.900000000000006"/>
  </r>
  <r>
    <x v="385"/>
    <d v="2025-05-22T00:00:00"/>
    <x v="0"/>
    <x v="2"/>
    <x v="1"/>
    <x v="1"/>
    <s v="Free"/>
    <n v="0"/>
    <n v="0"/>
    <n v="0"/>
    <n v="0"/>
    <n v="0"/>
    <n v="2"/>
    <n v="0"/>
    <m/>
    <n v="38"/>
  </r>
  <r>
    <x v="386"/>
    <d v="2025-02-09T00:00:00"/>
    <x v="0"/>
    <x v="2"/>
    <x v="1"/>
    <x v="2"/>
    <s v="Free"/>
    <n v="1"/>
    <n v="1"/>
    <n v="0"/>
    <n v="0"/>
    <n v="0"/>
    <n v="0"/>
    <n v="0"/>
    <m/>
    <n v="43.7"/>
  </r>
  <r>
    <x v="387"/>
    <d v="2025-05-30T00:00:00"/>
    <x v="0"/>
    <x v="1"/>
    <x v="0"/>
    <x v="1"/>
    <s v="Premium"/>
    <n v="1"/>
    <n v="0"/>
    <n v="0"/>
    <n v="0"/>
    <n v="0"/>
    <n v="1"/>
    <n v="0"/>
    <m/>
    <n v="32.200000000000003"/>
  </r>
  <r>
    <x v="388"/>
    <d v="2025-05-01T00:00:00"/>
    <x v="0"/>
    <x v="3"/>
    <x v="1"/>
    <x v="1"/>
    <s v="Premium"/>
    <n v="1"/>
    <n v="0"/>
    <n v="0"/>
    <n v="0"/>
    <n v="0"/>
    <n v="0"/>
    <n v="0"/>
    <m/>
    <n v="61"/>
  </r>
  <r>
    <x v="389"/>
    <d v="2025-01-03T00:00:00"/>
    <x v="0"/>
    <x v="3"/>
    <x v="1"/>
    <x v="2"/>
    <s v="Free"/>
    <n v="1"/>
    <n v="0"/>
    <n v="0"/>
    <n v="0"/>
    <n v="0"/>
    <n v="0"/>
    <n v="0"/>
    <m/>
    <n v="49"/>
  </r>
  <r>
    <x v="390"/>
    <d v="2025-02-13T00:00:00"/>
    <x v="0"/>
    <x v="2"/>
    <x v="1"/>
    <x v="1"/>
    <s v="Free"/>
    <n v="0"/>
    <n v="0"/>
    <n v="0"/>
    <n v="0"/>
    <n v="0"/>
    <n v="0"/>
    <n v="0"/>
    <m/>
    <n v="48.1"/>
  </r>
  <r>
    <x v="391"/>
    <d v="2025-01-14T00:00:00"/>
    <x v="0"/>
    <x v="3"/>
    <x v="0"/>
    <x v="1"/>
    <s v="Free"/>
    <n v="0"/>
    <n v="0"/>
    <n v="0"/>
    <n v="0"/>
    <n v="0"/>
    <n v="2"/>
    <n v="0"/>
    <m/>
    <n v="46.3"/>
  </r>
  <r>
    <x v="392"/>
    <d v="2025-02-24T00:00:00"/>
    <x v="0"/>
    <x v="0"/>
    <x v="1"/>
    <x v="3"/>
    <s v="Free"/>
    <n v="0"/>
    <n v="0"/>
    <n v="0"/>
    <n v="0"/>
    <n v="0"/>
    <n v="0"/>
    <n v="0"/>
    <m/>
    <n v="64"/>
  </r>
  <r>
    <x v="393"/>
    <d v="2025-05-16T00:00:00"/>
    <x v="0"/>
    <x v="1"/>
    <x v="0"/>
    <x v="1"/>
    <s v="Basic"/>
    <n v="1"/>
    <n v="1"/>
    <n v="0"/>
    <n v="0"/>
    <n v="0"/>
    <n v="0"/>
    <n v="0"/>
    <m/>
    <n v="56.2"/>
  </r>
  <r>
    <x v="394"/>
    <d v="2025-04-29T00:00:00"/>
    <x v="0"/>
    <x v="0"/>
    <x v="1"/>
    <x v="2"/>
    <s v="Free"/>
    <n v="1"/>
    <n v="1"/>
    <n v="1"/>
    <n v="0"/>
    <n v="0"/>
    <n v="0"/>
    <n v="0"/>
    <m/>
    <n v="77.5"/>
  </r>
  <r>
    <x v="395"/>
    <d v="2025-04-30T00:00:00"/>
    <x v="0"/>
    <x v="3"/>
    <x v="0"/>
    <x v="0"/>
    <s v="Basic"/>
    <n v="1"/>
    <n v="0"/>
    <n v="0"/>
    <n v="0"/>
    <n v="0"/>
    <n v="0"/>
    <n v="0"/>
    <m/>
    <n v="59.9"/>
  </r>
  <r>
    <x v="396"/>
    <d v="2025-01-09T00:00:00"/>
    <x v="0"/>
    <x v="3"/>
    <x v="0"/>
    <x v="1"/>
    <s v="Free"/>
    <n v="1"/>
    <n v="1"/>
    <n v="0"/>
    <n v="0"/>
    <n v="0"/>
    <n v="0"/>
    <n v="0"/>
    <m/>
    <n v="63"/>
  </r>
  <r>
    <x v="397"/>
    <d v="2025-04-25T00:00:00"/>
    <x v="0"/>
    <x v="3"/>
    <x v="1"/>
    <x v="1"/>
    <s v="Free"/>
    <n v="1"/>
    <n v="1"/>
    <n v="0"/>
    <n v="0"/>
    <n v="0"/>
    <n v="0"/>
    <n v="0"/>
    <m/>
    <n v="76.5"/>
  </r>
  <r>
    <x v="398"/>
    <d v="2025-03-12T00:00:00"/>
    <x v="0"/>
    <x v="0"/>
    <x v="0"/>
    <x v="2"/>
    <s v="Free"/>
    <n v="1"/>
    <n v="0"/>
    <n v="0"/>
    <n v="0"/>
    <n v="0"/>
    <n v="0"/>
    <n v="0"/>
    <m/>
    <n v="39.700000000000003"/>
  </r>
  <r>
    <x v="399"/>
    <d v="2025-03-20T00:00:00"/>
    <x v="0"/>
    <x v="0"/>
    <x v="1"/>
    <x v="1"/>
    <s v="Free"/>
    <n v="1"/>
    <n v="1"/>
    <n v="0"/>
    <n v="0"/>
    <n v="0"/>
    <n v="0"/>
    <n v="0"/>
    <m/>
    <n v="80.2"/>
  </r>
  <r>
    <x v="400"/>
    <d v="2025-02-18T00:00:00"/>
    <x v="0"/>
    <x v="1"/>
    <x v="1"/>
    <x v="2"/>
    <s v="Free"/>
    <n v="1"/>
    <n v="0"/>
    <n v="0"/>
    <n v="0"/>
    <n v="0"/>
    <n v="0"/>
    <n v="0"/>
    <m/>
    <n v="72.2"/>
  </r>
  <r>
    <x v="401"/>
    <d v="2025-01-22T00:00:00"/>
    <x v="0"/>
    <x v="0"/>
    <x v="1"/>
    <x v="4"/>
    <s v="Basic"/>
    <n v="0"/>
    <n v="0"/>
    <n v="0"/>
    <n v="0"/>
    <n v="0"/>
    <n v="0"/>
    <n v="0"/>
    <m/>
    <n v="56"/>
  </r>
  <r>
    <x v="402"/>
    <d v="2025-02-08T00:00:00"/>
    <x v="0"/>
    <x v="1"/>
    <x v="1"/>
    <x v="0"/>
    <s v="Basic"/>
    <n v="1"/>
    <n v="1"/>
    <n v="1"/>
    <n v="0"/>
    <n v="0"/>
    <n v="0"/>
    <n v="0"/>
    <m/>
    <n v="69.099999999999994"/>
  </r>
  <r>
    <x v="403"/>
    <d v="2025-01-20T00:00:00"/>
    <x v="0"/>
    <x v="0"/>
    <x v="1"/>
    <x v="0"/>
    <s v="Premium"/>
    <n v="0"/>
    <n v="0"/>
    <n v="0"/>
    <n v="0"/>
    <n v="0"/>
    <n v="1"/>
    <n v="0"/>
    <m/>
    <n v="70.599999999999994"/>
  </r>
  <r>
    <x v="404"/>
    <d v="2025-04-22T00:00:00"/>
    <x v="0"/>
    <x v="1"/>
    <x v="0"/>
    <x v="3"/>
    <s v="Free"/>
    <n v="1"/>
    <n v="0"/>
    <n v="0"/>
    <n v="0"/>
    <n v="0"/>
    <n v="0"/>
    <n v="0"/>
    <m/>
    <n v="57.9"/>
  </r>
  <r>
    <x v="405"/>
    <d v="2025-01-22T00:00:00"/>
    <x v="0"/>
    <x v="2"/>
    <x v="1"/>
    <x v="1"/>
    <s v="Basic"/>
    <n v="1"/>
    <n v="1"/>
    <n v="0"/>
    <n v="0"/>
    <n v="0"/>
    <n v="0"/>
    <n v="0"/>
    <m/>
    <n v="41.4"/>
  </r>
  <r>
    <x v="406"/>
    <d v="2025-05-11T00:00:00"/>
    <x v="0"/>
    <x v="1"/>
    <x v="1"/>
    <x v="1"/>
    <s v="Basic"/>
    <n v="1"/>
    <n v="0"/>
    <n v="0"/>
    <n v="0"/>
    <n v="0"/>
    <n v="0"/>
    <n v="0"/>
    <m/>
    <n v="60.9"/>
  </r>
  <r>
    <x v="407"/>
    <d v="2025-02-06T00:00:00"/>
    <x v="0"/>
    <x v="3"/>
    <x v="1"/>
    <x v="1"/>
    <s v="Basic"/>
    <n v="0"/>
    <n v="0"/>
    <n v="0"/>
    <n v="0"/>
    <n v="0"/>
    <n v="1"/>
    <n v="0"/>
    <m/>
    <n v="63.8"/>
  </r>
  <r>
    <x v="408"/>
    <d v="2025-02-21T00:00:00"/>
    <x v="0"/>
    <x v="0"/>
    <x v="0"/>
    <x v="1"/>
    <s v="Premium"/>
    <n v="1"/>
    <n v="0"/>
    <n v="0"/>
    <n v="0"/>
    <n v="0"/>
    <n v="0"/>
    <n v="0"/>
    <m/>
    <n v="79.2"/>
  </r>
  <r>
    <x v="409"/>
    <d v="2025-01-13T00:00:00"/>
    <x v="0"/>
    <x v="1"/>
    <x v="1"/>
    <x v="0"/>
    <s v="Premium"/>
    <n v="1"/>
    <n v="1"/>
    <n v="1"/>
    <n v="0"/>
    <n v="0"/>
    <n v="0"/>
    <n v="0"/>
    <m/>
    <n v="53.3"/>
  </r>
  <r>
    <x v="410"/>
    <d v="2025-03-07T00:00:00"/>
    <x v="0"/>
    <x v="0"/>
    <x v="1"/>
    <x v="3"/>
    <s v="Premium"/>
    <n v="1"/>
    <n v="1"/>
    <n v="1"/>
    <n v="1"/>
    <n v="2144.8200000000002"/>
    <n v="0"/>
    <n v="0"/>
    <n v="6"/>
    <n v="52.3"/>
  </r>
  <r>
    <x v="411"/>
    <d v="2025-02-26T00:00:00"/>
    <x v="0"/>
    <x v="1"/>
    <x v="0"/>
    <x v="1"/>
    <s v="Basic"/>
    <n v="1"/>
    <n v="1"/>
    <n v="0"/>
    <n v="0"/>
    <n v="0"/>
    <n v="0"/>
    <n v="0"/>
    <m/>
    <n v="62.4"/>
  </r>
  <r>
    <x v="412"/>
    <d v="2025-05-05T00:00:00"/>
    <x v="0"/>
    <x v="0"/>
    <x v="1"/>
    <x v="3"/>
    <s v="Premium"/>
    <n v="1"/>
    <n v="0"/>
    <n v="0"/>
    <n v="0"/>
    <n v="0"/>
    <n v="0"/>
    <n v="0"/>
    <m/>
    <n v="45.5"/>
  </r>
  <r>
    <x v="413"/>
    <d v="2025-01-08T00:00:00"/>
    <x v="0"/>
    <x v="2"/>
    <x v="0"/>
    <x v="1"/>
    <s v="Basic"/>
    <n v="0"/>
    <n v="0"/>
    <n v="0"/>
    <n v="0"/>
    <n v="0"/>
    <n v="1"/>
    <n v="0"/>
    <m/>
    <n v="72.599999999999994"/>
  </r>
  <r>
    <x v="414"/>
    <d v="2025-03-19T00:00:00"/>
    <x v="0"/>
    <x v="3"/>
    <x v="1"/>
    <x v="0"/>
    <s v="Premium"/>
    <n v="1"/>
    <n v="1"/>
    <n v="1"/>
    <n v="0"/>
    <n v="0"/>
    <n v="0"/>
    <n v="0"/>
    <m/>
    <n v="50.1"/>
  </r>
  <r>
    <x v="415"/>
    <d v="2025-01-30T00:00:00"/>
    <x v="0"/>
    <x v="2"/>
    <x v="0"/>
    <x v="2"/>
    <s v="Free"/>
    <n v="1"/>
    <n v="1"/>
    <n v="1"/>
    <n v="0"/>
    <n v="0"/>
    <n v="2"/>
    <n v="0"/>
    <m/>
    <n v="58.1"/>
  </r>
  <r>
    <x v="416"/>
    <d v="2025-04-28T00:00:00"/>
    <x v="0"/>
    <x v="2"/>
    <x v="1"/>
    <x v="1"/>
    <s v="Basic"/>
    <n v="1"/>
    <n v="0"/>
    <n v="0"/>
    <n v="0"/>
    <n v="0"/>
    <n v="0"/>
    <n v="0"/>
    <m/>
    <n v="42.9"/>
  </r>
  <r>
    <x v="417"/>
    <d v="2025-03-07T00:00:00"/>
    <x v="0"/>
    <x v="0"/>
    <x v="1"/>
    <x v="3"/>
    <s v="Basic"/>
    <n v="0"/>
    <n v="0"/>
    <n v="0"/>
    <n v="0"/>
    <n v="0"/>
    <n v="0"/>
    <n v="0"/>
    <m/>
    <n v="69.7"/>
  </r>
  <r>
    <x v="418"/>
    <d v="2025-04-07T00:00:00"/>
    <x v="0"/>
    <x v="0"/>
    <x v="0"/>
    <x v="1"/>
    <s v="Free"/>
    <n v="0"/>
    <n v="0"/>
    <n v="0"/>
    <n v="0"/>
    <n v="0"/>
    <n v="0"/>
    <n v="0"/>
    <m/>
    <n v="63.3"/>
  </r>
  <r>
    <x v="419"/>
    <d v="2025-05-08T00:00:00"/>
    <x v="0"/>
    <x v="0"/>
    <x v="0"/>
    <x v="1"/>
    <s v="Premium"/>
    <n v="1"/>
    <n v="0"/>
    <n v="0"/>
    <n v="0"/>
    <n v="0"/>
    <n v="0"/>
    <n v="0"/>
    <m/>
    <n v="71.2"/>
  </r>
  <r>
    <x v="420"/>
    <d v="2025-04-15T00:00:00"/>
    <x v="0"/>
    <x v="3"/>
    <x v="1"/>
    <x v="0"/>
    <s v="Free"/>
    <n v="1"/>
    <n v="0"/>
    <n v="0"/>
    <n v="0"/>
    <n v="0"/>
    <n v="0"/>
    <n v="0"/>
    <m/>
    <n v="39.1"/>
  </r>
  <r>
    <x v="421"/>
    <d v="2025-04-20T00:00:00"/>
    <x v="0"/>
    <x v="2"/>
    <x v="0"/>
    <x v="4"/>
    <s v="Free"/>
    <n v="1"/>
    <n v="0"/>
    <n v="0"/>
    <n v="0"/>
    <n v="0"/>
    <n v="0"/>
    <n v="0"/>
    <m/>
    <n v="42.6"/>
  </r>
  <r>
    <x v="422"/>
    <d v="2025-05-30T00:00:00"/>
    <x v="0"/>
    <x v="3"/>
    <x v="2"/>
    <x v="1"/>
    <s v="Free"/>
    <n v="0"/>
    <n v="0"/>
    <n v="0"/>
    <n v="0"/>
    <n v="0"/>
    <n v="0"/>
    <n v="0"/>
    <m/>
    <n v="74.400000000000006"/>
  </r>
  <r>
    <x v="423"/>
    <d v="2025-02-13T00:00:00"/>
    <x v="0"/>
    <x v="1"/>
    <x v="1"/>
    <x v="3"/>
    <s v="Free"/>
    <n v="0"/>
    <n v="0"/>
    <n v="0"/>
    <n v="0"/>
    <n v="0"/>
    <n v="0"/>
    <n v="0"/>
    <m/>
    <n v="55.6"/>
  </r>
  <r>
    <x v="424"/>
    <d v="2025-04-28T00:00:00"/>
    <x v="0"/>
    <x v="1"/>
    <x v="1"/>
    <x v="4"/>
    <s v="Free"/>
    <n v="1"/>
    <n v="0"/>
    <n v="0"/>
    <n v="0"/>
    <n v="0"/>
    <n v="0"/>
    <n v="0"/>
    <m/>
    <n v="35.799999999999997"/>
  </r>
  <r>
    <x v="425"/>
    <d v="2025-02-12T00:00:00"/>
    <x v="0"/>
    <x v="0"/>
    <x v="1"/>
    <x v="2"/>
    <s v="Basic"/>
    <n v="1"/>
    <n v="0"/>
    <n v="0"/>
    <n v="0"/>
    <n v="0"/>
    <n v="1"/>
    <n v="0"/>
    <m/>
    <n v="28.2"/>
  </r>
  <r>
    <x v="426"/>
    <d v="2025-02-12T00:00:00"/>
    <x v="0"/>
    <x v="2"/>
    <x v="1"/>
    <x v="1"/>
    <s v="Free"/>
    <n v="0"/>
    <n v="0"/>
    <n v="0"/>
    <n v="0"/>
    <n v="0"/>
    <n v="2"/>
    <n v="0"/>
    <m/>
    <n v="44.4"/>
  </r>
  <r>
    <x v="427"/>
    <d v="2025-03-27T00:00:00"/>
    <x v="0"/>
    <x v="0"/>
    <x v="1"/>
    <x v="0"/>
    <s v="Premium"/>
    <n v="1"/>
    <n v="0"/>
    <n v="0"/>
    <n v="0"/>
    <n v="0"/>
    <n v="0"/>
    <n v="0"/>
    <m/>
    <n v="49.9"/>
  </r>
  <r>
    <x v="428"/>
    <d v="2025-04-12T00:00:00"/>
    <x v="0"/>
    <x v="3"/>
    <x v="0"/>
    <x v="1"/>
    <s v="Free"/>
    <n v="0"/>
    <n v="0"/>
    <n v="0"/>
    <n v="0"/>
    <n v="0"/>
    <n v="0"/>
    <n v="0"/>
    <m/>
    <n v="40.4"/>
  </r>
  <r>
    <x v="429"/>
    <d v="2025-01-30T00:00:00"/>
    <x v="0"/>
    <x v="1"/>
    <x v="1"/>
    <x v="4"/>
    <s v="Free"/>
    <n v="0"/>
    <n v="0"/>
    <n v="0"/>
    <n v="0"/>
    <n v="0"/>
    <n v="0"/>
    <n v="0"/>
    <m/>
    <n v="60.4"/>
  </r>
  <r>
    <x v="430"/>
    <d v="2025-05-28T00:00:00"/>
    <x v="0"/>
    <x v="1"/>
    <x v="1"/>
    <x v="4"/>
    <s v="Premium"/>
    <n v="0"/>
    <n v="0"/>
    <n v="0"/>
    <n v="0"/>
    <n v="0"/>
    <n v="1"/>
    <n v="0"/>
    <m/>
    <n v="52.4"/>
  </r>
  <r>
    <x v="431"/>
    <d v="2025-05-01T00:00:00"/>
    <x v="0"/>
    <x v="3"/>
    <x v="1"/>
    <x v="1"/>
    <s v="Basic"/>
    <n v="1"/>
    <n v="1"/>
    <n v="0"/>
    <n v="0"/>
    <n v="0"/>
    <n v="0"/>
    <n v="0"/>
    <m/>
    <n v="48.8"/>
  </r>
  <r>
    <x v="432"/>
    <d v="2025-02-03T00:00:00"/>
    <x v="0"/>
    <x v="0"/>
    <x v="2"/>
    <x v="0"/>
    <s v="Basic"/>
    <n v="1"/>
    <n v="0"/>
    <n v="0"/>
    <n v="0"/>
    <n v="0"/>
    <n v="0"/>
    <n v="0"/>
    <m/>
    <n v="60.9"/>
  </r>
  <r>
    <x v="433"/>
    <d v="2025-01-10T00:00:00"/>
    <x v="0"/>
    <x v="3"/>
    <x v="0"/>
    <x v="4"/>
    <s v="Basic"/>
    <n v="0"/>
    <n v="0"/>
    <n v="0"/>
    <n v="0"/>
    <n v="0"/>
    <n v="0"/>
    <n v="0"/>
    <m/>
    <n v="68.2"/>
  </r>
  <r>
    <x v="434"/>
    <d v="2025-05-02T00:00:00"/>
    <x v="0"/>
    <x v="0"/>
    <x v="0"/>
    <x v="1"/>
    <s v="Basic"/>
    <n v="1"/>
    <n v="0"/>
    <n v="0"/>
    <n v="0"/>
    <n v="0"/>
    <n v="0"/>
    <n v="0"/>
    <m/>
    <n v="65.599999999999994"/>
  </r>
  <r>
    <x v="435"/>
    <d v="2025-05-26T00:00:00"/>
    <x v="0"/>
    <x v="0"/>
    <x v="0"/>
    <x v="1"/>
    <s v="Basic"/>
    <n v="1"/>
    <n v="0"/>
    <n v="0"/>
    <n v="0"/>
    <n v="0"/>
    <n v="0"/>
    <n v="0"/>
    <m/>
    <n v="65.400000000000006"/>
  </r>
  <r>
    <x v="436"/>
    <d v="2025-01-12T00:00:00"/>
    <x v="0"/>
    <x v="1"/>
    <x v="1"/>
    <x v="1"/>
    <s v="Basic"/>
    <n v="1"/>
    <n v="0"/>
    <n v="0"/>
    <n v="0"/>
    <n v="0"/>
    <n v="0"/>
    <n v="0"/>
    <m/>
    <n v="78.900000000000006"/>
  </r>
  <r>
    <x v="437"/>
    <d v="2025-05-27T00:00:00"/>
    <x v="0"/>
    <x v="2"/>
    <x v="1"/>
    <x v="2"/>
    <s v="Basic"/>
    <n v="1"/>
    <n v="1"/>
    <n v="1"/>
    <n v="0"/>
    <n v="0"/>
    <n v="0"/>
    <n v="0"/>
    <m/>
    <n v="78.3"/>
  </r>
  <r>
    <x v="438"/>
    <d v="2025-05-22T00:00:00"/>
    <x v="0"/>
    <x v="1"/>
    <x v="0"/>
    <x v="0"/>
    <s v="Basic"/>
    <n v="0"/>
    <n v="0"/>
    <n v="0"/>
    <n v="0"/>
    <n v="0"/>
    <n v="0"/>
    <n v="0"/>
    <m/>
    <n v="49.2"/>
  </r>
  <r>
    <x v="439"/>
    <d v="2025-04-01T00:00:00"/>
    <x v="0"/>
    <x v="2"/>
    <x v="1"/>
    <x v="4"/>
    <s v="Premium"/>
    <n v="1"/>
    <n v="1"/>
    <n v="1"/>
    <n v="1"/>
    <n v="1518.83"/>
    <n v="0"/>
    <n v="0"/>
    <n v="9"/>
    <n v="32.200000000000003"/>
  </r>
  <r>
    <x v="440"/>
    <d v="2025-01-22T00:00:00"/>
    <x v="0"/>
    <x v="0"/>
    <x v="1"/>
    <x v="2"/>
    <s v="Basic"/>
    <n v="1"/>
    <n v="1"/>
    <n v="1"/>
    <n v="0"/>
    <n v="0"/>
    <n v="0"/>
    <n v="0"/>
    <m/>
    <n v="46.3"/>
  </r>
  <r>
    <x v="441"/>
    <d v="2025-05-24T00:00:00"/>
    <x v="0"/>
    <x v="2"/>
    <x v="1"/>
    <x v="2"/>
    <s v="Basic"/>
    <n v="1"/>
    <n v="0"/>
    <n v="0"/>
    <n v="0"/>
    <n v="0"/>
    <n v="0"/>
    <n v="0"/>
    <m/>
    <n v="55.7"/>
  </r>
  <r>
    <x v="442"/>
    <d v="2025-04-25T00:00:00"/>
    <x v="0"/>
    <x v="3"/>
    <x v="1"/>
    <x v="4"/>
    <s v="Free"/>
    <n v="1"/>
    <n v="0"/>
    <n v="0"/>
    <n v="0"/>
    <n v="0"/>
    <n v="0"/>
    <n v="0"/>
    <m/>
    <n v="44.5"/>
  </r>
  <r>
    <x v="443"/>
    <d v="2025-04-12T00:00:00"/>
    <x v="0"/>
    <x v="1"/>
    <x v="0"/>
    <x v="3"/>
    <s v="Free"/>
    <n v="1"/>
    <n v="1"/>
    <n v="1"/>
    <n v="0"/>
    <n v="0"/>
    <n v="1"/>
    <n v="0"/>
    <m/>
    <n v="47.9"/>
  </r>
  <r>
    <x v="444"/>
    <d v="2025-04-23T00:00:00"/>
    <x v="0"/>
    <x v="3"/>
    <x v="1"/>
    <x v="1"/>
    <s v="Premium"/>
    <n v="1"/>
    <n v="0"/>
    <n v="0"/>
    <n v="0"/>
    <n v="0"/>
    <n v="0"/>
    <n v="0"/>
    <m/>
    <n v="43.9"/>
  </r>
  <r>
    <x v="445"/>
    <d v="2025-03-30T00:00:00"/>
    <x v="0"/>
    <x v="0"/>
    <x v="0"/>
    <x v="3"/>
    <s v="Free"/>
    <n v="1"/>
    <n v="1"/>
    <n v="1"/>
    <n v="0"/>
    <n v="0"/>
    <n v="1"/>
    <n v="0"/>
    <m/>
    <n v="67.7"/>
  </r>
  <r>
    <x v="446"/>
    <d v="2025-01-18T00:00:00"/>
    <x v="0"/>
    <x v="2"/>
    <x v="1"/>
    <x v="3"/>
    <s v="Basic"/>
    <n v="0"/>
    <n v="0"/>
    <n v="0"/>
    <n v="0"/>
    <n v="0"/>
    <n v="0"/>
    <n v="0"/>
    <m/>
    <n v="43.7"/>
  </r>
  <r>
    <x v="447"/>
    <d v="2025-04-09T00:00:00"/>
    <x v="0"/>
    <x v="2"/>
    <x v="1"/>
    <x v="1"/>
    <s v="Free"/>
    <n v="1"/>
    <n v="0"/>
    <n v="0"/>
    <n v="0"/>
    <n v="0"/>
    <n v="0"/>
    <n v="0"/>
    <m/>
    <n v="68.8"/>
  </r>
  <r>
    <x v="448"/>
    <d v="2025-01-11T00:00:00"/>
    <x v="0"/>
    <x v="1"/>
    <x v="1"/>
    <x v="1"/>
    <s v="Free"/>
    <n v="1"/>
    <n v="1"/>
    <n v="1"/>
    <n v="0"/>
    <n v="0"/>
    <n v="0"/>
    <n v="0"/>
    <m/>
    <n v="59.2"/>
  </r>
  <r>
    <x v="449"/>
    <d v="2025-03-05T00:00:00"/>
    <x v="0"/>
    <x v="2"/>
    <x v="1"/>
    <x v="2"/>
    <s v="Free"/>
    <n v="1"/>
    <n v="0"/>
    <n v="0"/>
    <n v="0"/>
    <n v="0"/>
    <n v="0"/>
    <n v="0"/>
    <m/>
    <n v="48.6"/>
  </r>
  <r>
    <x v="450"/>
    <d v="2025-02-17T00:00:00"/>
    <x v="0"/>
    <x v="0"/>
    <x v="2"/>
    <x v="4"/>
    <s v="Free"/>
    <n v="1"/>
    <n v="1"/>
    <n v="1"/>
    <n v="0"/>
    <n v="0"/>
    <n v="0"/>
    <n v="0"/>
    <m/>
    <n v="56.9"/>
  </r>
  <r>
    <x v="451"/>
    <d v="2025-05-07T00:00:00"/>
    <x v="0"/>
    <x v="0"/>
    <x v="0"/>
    <x v="2"/>
    <s v="Free"/>
    <n v="0"/>
    <n v="0"/>
    <n v="0"/>
    <n v="0"/>
    <n v="0"/>
    <n v="0"/>
    <n v="0"/>
    <m/>
    <n v="55.8"/>
  </r>
  <r>
    <x v="452"/>
    <d v="2025-04-10T00:00:00"/>
    <x v="0"/>
    <x v="2"/>
    <x v="1"/>
    <x v="2"/>
    <s v="Premium"/>
    <n v="0"/>
    <n v="0"/>
    <n v="0"/>
    <n v="0"/>
    <n v="0"/>
    <n v="0"/>
    <n v="0"/>
    <m/>
    <n v="63.3"/>
  </r>
  <r>
    <x v="453"/>
    <d v="2025-04-21T00:00:00"/>
    <x v="0"/>
    <x v="0"/>
    <x v="1"/>
    <x v="4"/>
    <s v="Free"/>
    <n v="1"/>
    <n v="0"/>
    <n v="0"/>
    <n v="0"/>
    <n v="0"/>
    <n v="0"/>
    <n v="0"/>
    <m/>
    <n v="52.2"/>
  </r>
  <r>
    <x v="454"/>
    <d v="2025-02-25T00:00:00"/>
    <x v="0"/>
    <x v="3"/>
    <x v="2"/>
    <x v="5"/>
    <s v="Free"/>
    <n v="0"/>
    <n v="0"/>
    <n v="0"/>
    <n v="0"/>
    <n v="0"/>
    <n v="0"/>
    <n v="0"/>
    <m/>
    <n v="51.5"/>
  </r>
  <r>
    <x v="455"/>
    <d v="2025-05-14T00:00:00"/>
    <x v="0"/>
    <x v="2"/>
    <x v="0"/>
    <x v="1"/>
    <s v="Free"/>
    <n v="0"/>
    <n v="0"/>
    <n v="0"/>
    <n v="0"/>
    <n v="0"/>
    <n v="0"/>
    <n v="0"/>
    <m/>
    <n v="50.3"/>
  </r>
  <r>
    <x v="456"/>
    <d v="2025-03-10T00:00:00"/>
    <x v="0"/>
    <x v="0"/>
    <x v="1"/>
    <x v="0"/>
    <s v="Basic"/>
    <n v="1"/>
    <n v="0"/>
    <n v="0"/>
    <n v="0"/>
    <n v="0"/>
    <n v="1"/>
    <n v="0"/>
    <m/>
    <n v="35.4"/>
  </r>
  <r>
    <x v="457"/>
    <d v="2025-01-31T00:00:00"/>
    <x v="0"/>
    <x v="1"/>
    <x v="0"/>
    <x v="1"/>
    <s v="Premium"/>
    <n v="1"/>
    <n v="0"/>
    <n v="0"/>
    <n v="0"/>
    <n v="0"/>
    <n v="1"/>
    <n v="0"/>
    <m/>
    <n v="54.1"/>
  </r>
  <r>
    <x v="458"/>
    <d v="2025-01-17T00:00:00"/>
    <x v="0"/>
    <x v="3"/>
    <x v="1"/>
    <x v="1"/>
    <s v="Premium"/>
    <n v="1"/>
    <n v="0"/>
    <n v="0"/>
    <n v="0"/>
    <n v="0"/>
    <n v="0"/>
    <n v="0"/>
    <m/>
    <n v="56.2"/>
  </r>
  <r>
    <x v="459"/>
    <d v="2025-03-12T00:00:00"/>
    <x v="0"/>
    <x v="3"/>
    <x v="1"/>
    <x v="2"/>
    <s v="Free"/>
    <n v="0"/>
    <n v="0"/>
    <n v="0"/>
    <n v="0"/>
    <n v="0"/>
    <n v="3"/>
    <n v="0"/>
    <m/>
    <n v="43.7"/>
  </r>
  <r>
    <x v="460"/>
    <d v="2025-02-28T00:00:00"/>
    <x v="0"/>
    <x v="1"/>
    <x v="0"/>
    <x v="1"/>
    <s v="Premium"/>
    <n v="1"/>
    <n v="1"/>
    <n v="0"/>
    <n v="0"/>
    <n v="0"/>
    <n v="0"/>
    <n v="0"/>
    <m/>
    <n v="51.3"/>
  </r>
  <r>
    <x v="461"/>
    <d v="2025-05-19T00:00:00"/>
    <x v="0"/>
    <x v="0"/>
    <x v="3"/>
    <x v="1"/>
    <s v="Basic"/>
    <n v="1"/>
    <n v="0"/>
    <n v="0"/>
    <n v="0"/>
    <n v="0"/>
    <n v="0"/>
    <n v="0"/>
    <m/>
    <n v="50.5"/>
  </r>
  <r>
    <x v="462"/>
    <d v="2025-02-23T00:00:00"/>
    <x v="0"/>
    <x v="0"/>
    <x v="1"/>
    <x v="3"/>
    <s v="Basic"/>
    <n v="1"/>
    <n v="0"/>
    <n v="0"/>
    <n v="0"/>
    <n v="0"/>
    <n v="0"/>
    <n v="0"/>
    <m/>
    <n v="57.3"/>
  </r>
  <r>
    <x v="463"/>
    <d v="2025-02-20T00:00:00"/>
    <x v="0"/>
    <x v="1"/>
    <x v="0"/>
    <x v="1"/>
    <s v="Free"/>
    <n v="1"/>
    <n v="1"/>
    <n v="1"/>
    <n v="0"/>
    <n v="0"/>
    <n v="0"/>
    <n v="0"/>
    <m/>
    <n v="58.4"/>
  </r>
  <r>
    <x v="464"/>
    <d v="2025-04-12T00:00:00"/>
    <x v="0"/>
    <x v="0"/>
    <x v="1"/>
    <x v="5"/>
    <s v="Free"/>
    <n v="0"/>
    <n v="0"/>
    <n v="0"/>
    <n v="0"/>
    <n v="0"/>
    <n v="0"/>
    <n v="0"/>
    <m/>
    <n v="56.5"/>
  </r>
  <r>
    <x v="465"/>
    <d v="2025-01-08T00:00:00"/>
    <x v="0"/>
    <x v="1"/>
    <x v="1"/>
    <x v="0"/>
    <s v="Free"/>
    <n v="0"/>
    <n v="0"/>
    <n v="0"/>
    <n v="0"/>
    <n v="0"/>
    <n v="0"/>
    <n v="0"/>
    <m/>
    <n v="69.599999999999994"/>
  </r>
  <r>
    <x v="466"/>
    <d v="2025-02-13T00:00:00"/>
    <x v="0"/>
    <x v="1"/>
    <x v="1"/>
    <x v="1"/>
    <s v="Basic"/>
    <n v="0"/>
    <n v="0"/>
    <n v="0"/>
    <n v="0"/>
    <n v="0"/>
    <n v="0"/>
    <n v="0"/>
    <m/>
    <n v="6.2"/>
  </r>
  <r>
    <x v="467"/>
    <d v="2025-05-21T00:00:00"/>
    <x v="0"/>
    <x v="2"/>
    <x v="0"/>
    <x v="0"/>
    <s v="Free"/>
    <n v="1"/>
    <n v="1"/>
    <n v="1"/>
    <n v="0"/>
    <n v="0"/>
    <n v="0"/>
    <n v="0"/>
    <m/>
    <n v="54.3"/>
  </r>
  <r>
    <x v="468"/>
    <d v="2025-05-30T00:00:00"/>
    <x v="0"/>
    <x v="0"/>
    <x v="1"/>
    <x v="1"/>
    <s v="Basic"/>
    <n v="0"/>
    <n v="0"/>
    <n v="0"/>
    <n v="0"/>
    <n v="0"/>
    <n v="0"/>
    <n v="0"/>
    <m/>
    <n v="59.8"/>
  </r>
  <r>
    <x v="469"/>
    <d v="2025-05-20T00:00:00"/>
    <x v="0"/>
    <x v="1"/>
    <x v="1"/>
    <x v="2"/>
    <s v="Free"/>
    <n v="0"/>
    <n v="0"/>
    <n v="0"/>
    <n v="0"/>
    <n v="0"/>
    <n v="0"/>
    <n v="0"/>
    <m/>
    <n v="58.9"/>
  </r>
  <r>
    <x v="470"/>
    <d v="2025-01-09T00:00:00"/>
    <x v="0"/>
    <x v="2"/>
    <x v="0"/>
    <x v="1"/>
    <s v="Free"/>
    <n v="0"/>
    <n v="0"/>
    <n v="0"/>
    <n v="0"/>
    <n v="0"/>
    <n v="1"/>
    <n v="0"/>
    <m/>
    <n v="52.9"/>
  </r>
  <r>
    <x v="471"/>
    <d v="2025-03-07T00:00:00"/>
    <x v="0"/>
    <x v="1"/>
    <x v="1"/>
    <x v="1"/>
    <s v="Free"/>
    <n v="0"/>
    <n v="0"/>
    <n v="0"/>
    <n v="0"/>
    <n v="0"/>
    <n v="0"/>
    <n v="0"/>
    <m/>
    <n v="67.8"/>
  </r>
  <r>
    <x v="472"/>
    <d v="2025-04-23T00:00:00"/>
    <x v="0"/>
    <x v="3"/>
    <x v="1"/>
    <x v="4"/>
    <s v="Free"/>
    <n v="0"/>
    <n v="0"/>
    <n v="0"/>
    <n v="0"/>
    <n v="0"/>
    <n v="0"/>
    <n v="0"/>
    <m/>
    <n v="48.7"/>
  </r>
  <r>
    <x v="473"/>
    <d v="2025-03-08T00:00:00"/>
    <x v="0"/>
    <x v="2"/>
    <x v="1"/>
    <x v="1"/>
    <s v="Basic"/>
    <n v="0"/>
    <n v="0"/>
    <n v="0"/>
    <n v="0"/>
    <n v="0"/>
    <n v="0"/>
    <n v="0"/>
    <m/>
    <n v="59"/>
  </r>
  <r>
    <x v="474"/>
    <d v="2025-02-14T00:00:00"/>
    <x v="0"/>
    <x v="3"/>
    <x v="1"/>
    <x v="3"/>
    <s v="Free"/>
    <n v="0"/>
    <n v="0"/>
    <n v="0"/>
    <n v="0"/>
    <n v="0"/>
    <n v="0"/>
    <n v="0"/>
    <m/>
    <n v="63.2"/>
  </r>
  <r>
    <x v="475"/>
    <d v="2025-05-17T00:00:00"/>
    <x v="0"/>
    <x v="1"/>
    <x v="1"/>
    <x v="3"/>
    <s v="Basic"/>
    <n v="1"/>
    <n v="0"/>
    <n v="0"/>
    <n v="0"/>
    <n v="0"/>
    <n v="0"/>
    <n v="0"/>
    <m/>
    <n v="68.7"/>
  </r>
  <r>
    <x v="476"/>
    <d v="2025-04-25T00:00:00"/>
    <x v="0"/>
    <x v="3"/>
    <x v="1"/>
    <x v="3"/>
    <s v="Free"/>
    <n v="0"/>
    <n v="0"/>
    <n v="0"/>
    <n v="0"/>
    <n v="0"/>
    <n v="0"/>
    <n v="0"/>
    <m/>
    <n v="52.1"/>
  </r>
  <r>
    <x v="477"/>
    <d v="2025-03-04T00:00:00"/>
    <x v="0"/>
    <x v="3"/>
    <x v="0"/>
    <x v="4"/>
    <s v="Basic"/>
    <n v="0"/>
    <n v="0"/>
    <n v="0"/>
    <n v="0"/>
    <n v="0"/>
    <n v="0"/>
    <n v="0"/>
    <m/>
    <n v="56.5"/>
  </r>
  <r>
    <x v="478"/>
    <d v="2025-03-18T00:00:00"/>
    <x v="0"/>
    <x v="3"/>
    <x v="1"/>
    <x v="1"/>
    <s v="Free"/>
    <n v="1"/>
    <n v="0"/>
    <n v="0"/>
    <n v="0"/>
    <n v="0"/>
    <n v="0"/>
    <n v="0"/>
    <m/>
    <n v="64.400000000000006"/>
  </r>
  <r>
    <x v="479"/>
    <d v="2025-01-30T00:00:00"/>
    <x v="0"/>
    <x v="1"/>
    <x v="1"/>
    <x v="2"/>
    <s v="Premium"/>
    <n v="1"/>
    <n v="0"/>
    <n v="0"/>
    <n v="0"/>
    <n v="0"/>
    <n v="0"/>
    <n v="0"/>
    <m/>
    <n v="65.900000000000006"/>
  </r>
  <r>
    <x v="480"/>
    <d v="2025-05-20T00:00:00"/>
    <x v="0"/>
    <x v="1"/>
    <x v="2"/>
    <x v="3"/>
    <s v="Free"/>
    <n v="1"/>
    <n v="1"/>
    <n v="1"/>
    <n v="0"/>
    <n v="0"/>
    <n v="0"/>
    <n v="0"/>
    <m/>
    <n v="100"/>
  </r>
  <r>
    <x v="481"/>
    <d v="2025-02-13T00:00:00"/>
    <x v="0"/>
    <x v="0"/>
    <x v="3"/>
    <x v="1"/>
    <s v="Basic"/>
    <n v="1"/>
    <n v="1"/>
    <n v="1"/>
    <n v="0"/>
    <n v="0"/>
    <n v="0"/>
    <n v="0"/>
    <m/>
    <n v="50.4"/>
  </r>
  <r>
    <x v="482"/>
    <d v="2025-04-12T00:00:00"/>
    <x v="0"/>
    <x v="1"/>
    <x v="0"/>
    <x v="1"/>
    <s v="Basic"/>
    <n v="0"/>
    <n v="0"/>
    <n v="0"/>
    <n v="0"/>
    <n v="0"/>
    <n v="0"/>
    <n v="0"/>
    <m/>
    <n v="41.5"/>
  </r>
  <r>
    <x v="483"/>
    <d v="2025-04-07T00:00:00"/>
    <x v="0"/>
    <x v="0"/>
    <x v="1"/>
    <x v="0"/>
    <s v="Free"/>
    <n v="0"/>
    <n v="0"/>
    <n v="0"/>
    <n v="0"/>
    <n v="0"/>
    <n v="0"/>
    <n v="0"/>
    <m/>
    <n v="86.2"/>
  </r>
  <r>
    <x v="484"/>
    <d v="2025-03-12T00:00:00"/>
    <x v="0"/>
    <x v="0"/>
    <x v="0"/>
    <x v="4"/>
    <s v="Free"/>
    <n v="1"/>
    <n v="1"/>
    <n v="1"/>
    <n v="0"/>
    <n v="0"/>
    <n v="2"/>
    <n v="0"/>
    <m/>
    <n v="50.8"/>
  </r>
  <r>
    <x v="485"/>
    <d v="2025-02-07T00:00:00"/>
    <x v="0"/>
    <x v="1"/>
    <x v="1"/>
    <x v="1"/>
    <s v="Free"/>
    <n v="1"/>
    <n v="0"/>
    <n v="0"/>
    <n v="0"/>
    <n v="0"/>
    <n v="0"/>
    <n v="0"/>
    <m/>
    <n v="50.9"/>
  </r>
  <r>
    <x v="486"/>
    <d v="2025-05-05T00:00:00"/>
    <x v="0"/>
    <x v="0"/>
    <x v="1"/>
    <x v="1"/>
    <s v="Premium"/>
    <n v="1"/>
    <n v="1"/>
    <n v="0"/>
    <n v="0"/>
    <n v="0"/>
    <n v="0"/>
    <n v="0"/>
    <m/>
    <n v="87.5"/>
  </r>
  <r>
    <x v="487"/>
    <d v="2025-03-18T00:00:00"/>
    <x v="0"/>
    <x v="3"/>
    <x v="1"/>
    <x v="3"/>
    <s v="Free"/>
    <n v="0"/>
    <n v="0"/>
    <n v="0"/>
    <n v="0"/>
    <n v="0"/>
    <n v="0"/>
    <n v="0"/>
    <m/>
    <n v="43.6"/>
  </r>
  <r>
    <x v="488"/>
    <d v="2025-01-05T00:00:00"/>
    <x v="0"/>
    <x v="3"/>
    <x v="1"/>
    <x v="2"/>
    <s v="Basic"/>
    <n v="1"/>
    <n v="0"/>
    <n v="0"/>
    <n v="0"/>
    <n v="0"/>
    <n v="0"/>
    <n v="0"/>
    <m/>
    <n v="55.5"/>
  </r>
  <r>
    <x v="489"/>
    <d v="2025-05-10T00:00:00"/>
    <x v="0"/>
    <x v="3"/>
    <x v="0"/>
    <x v="3"/>
    <s v="Basic"/>
    <n v="0"/>
    <n v="0"/>
    <n v="0"/>
    <n v="0"/>
    <n v="0"/>
    <n v="0"/>
    <n v="0"/>
    <m/>
    <n v="78.599999999999994"/>
  </r>
  <r>
    <x v="490"/>
    <d v="2025-01-03T00:00:00"/>
    <x v="0"/>
    <x v="3"/>
    <x v="1"/>
    <x v="4"/>
    <s v="Basic"/>
    <n v="1"/>
    <n v="1"/>
    <n v="0"/>
    <n v="0"/>
    <n v="0"/>
    <n v="1"/>
    <n v="0"/>
    <m/>
    <n v="44.3"/>
  </r>
  <r>
    <x v="491"/>
    <d v="2025-05-08T00:00:00"/>
    <x v="0"/>
    <x v="3"/>
    <x v="1"/>
    <x v="2"/>
    <s v="Free"/>
    <n v="1"/>
    <n v="1"/>
    <n v="0"/>
    <n v="0"/>
    <n v="0"/>
    <n v="0"/>
    <n v="0"/>
    <m/>
    <n v="45.2"/>
  </r>
  <r>
    <x v="492"/>
    <d v="2025-03-05T00:00:00"/>
    <x v="0"/>
    <x v="3"/>
    <x v="0"/>
    <x v="0"/>
    <s v="Basic"/>
    <n v="1"/>
    <n v="0"/>
    <n v="0"/>
    <n v="0"/>
    <n v="0"/>
    <n v="2"/>
    <n v="0"/>
    <m/>
    <n v="46.1"/>
  </r>
  <r>
    <x v="493"/>
    <d v="2025-02-17T00:00:00"/>
    <x v="0"/>
    <x v="0"/>
    <x v="1"/>
    <x v="1"/>
    <s v="Premium"/>
    <n v="1"/>
    <n v="0"/>
    <n v="0"/>
    <n v="0"/>
    <n v="0"/>
    <n v="0"/>
    <n v="0"/>
    <m/>
    <n v="49.6"/>
  </r>
  <r>
    <x v="494"/>
    <d v="2025-01-09T00:00:00"/>
    <x v="0"/>
    <x v="3"/>
    <x v="1"/>
    <x v="3"/>
    <s v="Basic"/>
    <n v="0"/>
    <n v="0"/>
    <n v="0"/>
    <n v="0"/>
    <n v="0"/>
    <n v="0"/>
    <n v="0"/>
    <m/>
    <n v="70.5"/>
  </r>
  <r>
    <x v="495"/>
    <d v="2025-05-05T00:00:00"/>
    <x v="0"/>
    <x v="3"/>
    <x v="1"/>
    <x v="0"/>
    <s v="Basic"/>
    <n v="0"/>
    <n v="0"/>
    <n v="0"/>
    <n v="0"/>
    <n v="0"/>
    <n v="1"/>
    <n v="0"/>
    <m/>
    <n v="60.8"/>
  </r>
  <r>
    <x v="496"/>
    <d v="2025-04-16T00:00:00"/>
    <x v="0"/>
    <x v="2"/>
    <x v="1"/>
    <x v="0"/>
    <s v="Basic"/>
    <n v="0"/>
    <n v="0"/>
    <n v="0"/>
    <n v="0"/>
    <n v="0"/>
    <n v="1"/>
    <n v="0"/>
    <m/>
    <n v="50.5"/>
  </r>
  <r>
    <x v="497"/>
    <d v="2025-03-02T00:00:00"/>
    <x v="0"/>
    <x v="3"/>
    <x v="0"/>
    <x v="1"/>
    <s v="Free"/>
    <n v="1"/>
    <n v="0"/>
    <n v="0"/>
    <n v="0"/>
    <n v="0"/>
    <n v="0"/>
    <n v="0"/>
    <m/>
    <n v="54.9"/>
  </r>
  <r>
    <x v="498"/>
    <d v="2025-04-14T00:00:00"/>
    <x v="0"/>
    <x v="3"/>
    <x v="1"/>
    <x v="4"/>
    <s v="Premium"/>
    <n v="0"/>
    <n v="0"/>
    <n v="0"/>
    <n v="0"/>
    <n v="0"/>
    <n v="0"/>
    <n v="0"/>
    <m/>
    <n v="29.9"/>
  </r>
  <r>
    <x v="499"/>
    <d v="2025-02-15T00:00:00"/>
    <x v="0"/>
    <x v="2"/>
    <x v="0"/>
    <x v="2"/>
    <s v="Basic"/>
    <n v="0"/>
    <n v="0"/>
    <n v="0"/>
    <n v="0"/>
    <n v="0"/>
    <n v="0"/>
    <n v="0"/>
    <m/>
    <n v="48.3"/>
  </r>
  <r>
    <x v="500"/>
    <d v="2025-02-13T00:00:00"/>
    <x v="0"/>
    <x v="1"/>
    <x v="1"/>
    <x v="4"/>
    <s v="Free"/>
    <n v="1"/>
    <n v="1"/>
    <n v="1"/>
    <n v="1"/>
    <n v="513.61"/>
    <n v="0"/>
    <n v="0"/>
    <n v="7"/>
    <n v="41.3"/>
  </r>
  <r>
    <x v="501"/>
    <d v="2025-03-06T00:00:00"/>
    <x v="0"/>
    <x v="0"/>
    <x v="1"/>
    <x v="0"/>
    <s v="Free"/>
    <n v="0"/>
    <n v="0"/>
    <n v="0"/>
    <n v="0"/>
    <n v="0"/>
    <n v="0"/>
    <n v="0"/>
    <m/>
    <n v="61.4"/>
  </r>
  <r>
    <x v="502"/>
    <d v="2025-02-18T00:00:00"/>
    <x v="0"/>
    <x v="3"/>
    <x v="0"/>
    <x v="4"/>
    <s v="Free"/>
    <n v="0"/>
    <n v="0"/>
    <n v="0"/>
    <n v="0"/>
    <n v="0"/>
    <n v="0"/>
    <n v="0"/>
    <m/>
    <n v="57.8"/>
  </r>
  <r>
    <x v="503"/>
    <d v="2025-04-07T00:00:00"/>
    <x v="0"/>
    <x v="0"/>
    <x v="0"/>
    <x v="1"/>
    <s v="Free"/>
    <n v="0"/>
    <n v="0"/>
    <n v="0"/>
    <n v="0"/>
    <n v="0"/>
    <n v="0"/>
    <n v="0"/>
    <m/>
    <n v="78.2"/>
  </r>
  <r>
    <x v="504"/>
    <d v="2025-04-06T00:00:00"/>
    <x v="0"/>
    <x v="0"/>
    <x v="1"/>
    <x v="3"/>
    <s v="Free"/>
    <n v="0"/>
    <n v="0"/>
    <n v="0"/>
    <n v="0"/>
    <n v="0"/>
    <n v="0"/>
    <n v="0"/>
    <m/>
    <n v="63.8"/>
  </r>
  <r>
    <x v="505"/>
    <d v="2025-01-30T00:00:00"/>
    <x v="0"/>
    <x v="0"/>
    <x v="0"/>
    <x v="4"/>
    <s v="Free"/>
    <n v="1"/>
    <n v="0"/>
    <n v="0"/>
    <n v="0"/>
    <n v="0"/>
    <n v="0"/>
    <n v="0"/>
    <m/>
    <n v="56.8"/>
  </r>
  <r>
    <x v="506"/>
    <d v="2025-05-13T00:00:00"/>
    <x v="0"/>
    <x v="3"/>
    <x v="0"/>
    <x v="1"/>
    <s v="Basic"/>
    <n v="1"/>
    <n v="1"/>
    <n v="0"/>
    <n v="0"/>
    <n v="0"/>
    <n v="0"/>
    <n v="0"/>
    <m/>
    <n v="59.6"/>
  </r>
  <r>
    <x v="507"/>
    <d v="2025-01-20T00:00:00"/>
    <x v="0"/>
    <x v="1"/>
    <x v="1"/>
    <x v="2"/>
    <s v="Premium"/>
    <n v="1"/>
    <n v="1"/>
    <n v="0"/>
    <n v="0"/>
    <n v="0"/>
    <n v="0"/>
    <n v="0"/>
    <m/>
    <n v="50"/>
  </r>
  <r>
    <x v="508"/>
    <d v="2025-01-30T00:00:00"/>
    <x v="0"/>
    <x v="0"/>
    <x v="2"/>
    <x v="1"/>
    <s v="Free"/>
    <n v="1"/>
    <n v="0"/>
    <n v="0"/>
    <n v="0"/>
    <n v="0"/>
    <n v="0"/>
    <n v="0"/>
    <m/>
    <n v="35.700000000000003"/>
  </r>
  <r>
    <x v="509"/>
    <d v="2025-01-13T00:00:00"/>
    <x v="0"/>
    <x v="3"/>
    <x v="1"/>
    <x v="1"/>
    <s v="Free"/>
    <n v="0"/>
    <n v="0"/>
    <n v="0"/>
    <n v="0"/>
    <n v="0"/>
    <n v="2"/>
    <n v="0"/>
    <m/>
    <n v="47.2"/>
  </r>
  <r>
    <x v="510"/>
    <d v="2025-02-11T00:00:00"/>
    <x v="0"/>
    <x v="0"/>
    <x v="1"/>
    <x v="4"/>
    <s v="Free"/>
    <n v="1"/>
    <n v="1"/>
    <n v="0"/>
    <n v="0"/>
    <n v="0"/>
    <n v="0"/>
    <n v="0"/>
    <m/>
    <n v="56.9"/>
  </r>
  <r>
    <x v="511"/>
    <d v="2025-04-15T00:00:00"/>
    <x v="0"/>
    <x v="3"/>
    <x v="1"/>
    <x v="1"/>
    <s v="Free"/>
    <n v="0"/>
    <n v="0"/>
    <n v="0"/>
    <n v="0"/>
    <n v="0"/>
    <n v="1"/>
    <n v="0"/>
    <m/>
    <n v="57.2"/>
  </r>
  <r>
    <x v="512"/>
    <d v="2025-02-13T00:00:00"/>
    <x v="0"/>
    <x v="3"/>
    <x v="1"/>
    <x v="5"/>
    <s v="Free"/>
    <n v="1"/>
    <n v="1"/>
    <n v="0"/>
    <n v="0"/>
    <n v="0"/>
    <n v="0"/>
    <n v="0"/>
    <m/>
    <n v="31.4"/>
  </r>
  <r>
    <x v="513"/>
    <d v="2025-05-09T00:00:00"/>
    <x v="0"/>
    <x v="3"/>
    <x v="0"/>
    <x v="1"/>
    <s v="Free"/>
    <n v="0"/>
    <n v="0"/>
    <n v="0"/>
    <n v="0"/>
    <n v="0"/>
    <n v="0"/>
    <n v="0"/>
    <m/>
    <n v="71.2"/>
  </r>
  <r>
    <x v="514"/>
    <d v="2025-03-10T00:00:00"/>
    <x v="0"/>
    <x v="0"/>
    <x v="1"/>
    <x v="2"/>
    <s v="Free"/>
    <n v="1"/>
    <n v="1"/>
    <n v="1"/>
    <n v="0"/>
    <n v="0"/>
    <n v="1"/>
    <n v="0"/>
    <m/>
    <n v="38.299999999999997"/>
  </r>
  <r>
    <x v="515"/>
    <d v="2025-04-01T00:00:00"/>
    <x v="0"/>
    <x v="0"/>
    <x v="1"/>
    <x v="1"/>
    <s v="Free"/>
    <n v="1"/>
    <n v="1"/>
    <n v="0"/>
    <n v="0"/>
    <n v="0"/>
    <n v="0"/>
    <n v="0"/>
    <m/>
    <n v="63.1"/>
  </r>
  <r>
    <x v="516"/>
    <d v="2025-05-15T00:00:00"/>
    <x v="0"/>
    <x v="2"/>
    <x v="1"/>
    <x v="3"/>
    <s v="Basic"/>
    <n v="1"/>
    <n v="0"/>
    <n v="0"/>
    <n v="0"/>
    <n v="0"/>
    <n v="0"/>
    <n v="0"/>
    <m/>
    <n v="59.7"/>
  </r>
  <r>
    <x v="517"/>
    <d v="2025-05-04T00:00:00"/>
    <x v="0"/>
    <x v="3"/>
    <x v="0"/>
    <x v="4"/>
    <s v="Premium"/>
    <n v="1"/>
    <n v="1"/>
    <n v="1"/>
    <n v="0"/>
    <n v="0"/>
    <n v="0"/>
    <n v="0"/>
    <m/>
    <n v="59.5"/>
  </r>
  <r>
    <x v="518"/>
    <d v="2025-05-20T00:00:00"/>
    <x v="0"/>
    <x v="2"/>
    <x v="1"/>
    <x v="2"/>
    <s v="Free"/>
    <n v="0"/>
    <n v="0"/>
    <n v="0"/>
    <n v="0"/>
    <n v="0"/>
    <n v="0"/>
    <n v="0"/>
    <m/>
    <n v="78.8"/>
  </r>
  <r>
    <x v="519"/>
    <d v="2025-05-16T00:00:00"/>
    <x v="0"/>
    <x v="1"/>
    <x v="0"/>
    <x v="3"/>
    <s v="Free"/>
    <n v="0"/>
    <n v="0"/>
    <n v="0"/>
    <n v="0"/>
    <n v="0"/>
    <n v="0"/>
    <n v="0"/>
    <m/>
    <n v="54"/>
  </r>
  <r>
    <x v="520"/>
    <d v="2025-03-17T00:00:00"/>
    <x v="0"/>
    <x v="1"/>
    <x v="1"/>
    <x v="1"/>
    <s v="Free"/>
    <n v="1"/>
    <n v="0"/>
    <n v="0"/>
    <n v="0"/>
    <n v="0"/>
    <n v="0"/>
    <n v="0"/>
    <m/>
    <n v="66.3"/>
  </r>
  <r>
    <x v="521"/>
    <d v="2025-01-27T00:00:00"/>
    <x v="0"/>
    <x v="2"/>
    <x v="2"/>
    <x v="2"/>
    <s v="Free"/>
    <n v="1"/>
    <n v="1"/>
    <n v="0"/>
    <n v="0"/>
    <n v="0"/>
    <n v="0"/>
    <n v="0"/>
    <m/>
    <n v="54.7"/>
  </r>
  <r>
    <x v="522"/>
    <d v="2025-04-13T00:00:00"/>
    <x v="0"/>
    <x v="3"/>
    <x v="1"/>
    <x v="1"/>
    <s v="Basic"/>
    <n v="1"/>
    <n v="0"/>
    <n v="0"/>
    <n v="0"/>
    <n v="0"/>
    <n v="0"/>
    <n v="0"/>
    <m/>
    <n v="76.7"/>
  </r>
  <r>
    <x v="523"/>
    <d v="2025-05-03T00:00:00"/>
    <x v="0"/>
    <x v="3"/>
    <x v="0"/>
    <x v="0"/>
    <s v="Basic"/>
    <n v="1"/>
    <n v="0"/>
    <n v="0"/>
    <n v="0"/>
    <n v="0"/>
    <n v="2"/>
    <n v="0"/>
    <m/>
    <n v="47.4"/>
  </r>
  <r>
    <x v="524"/>
    <d v="2025-03-30T00:00:00"/>
    <x v="0"/>
    <x v="0"/>
    <x v="1"/>
    <x v="1"/>
    <s v="Free"/>
    <n v="1"/>
    <n v="1"/>
    <n v="1"/>
    <n v="0"/>
    <n v="0"/>
    <n v="0"/>
    <n v="0"/>
    <m/>
    <n v="81.7"/>
  </r>
  <r>
    <x v="525"/>
    <d v="2025-01-01T00:00:00"/>
    <x v="0"/>
    <x v="1"/>
    <x v="1"/>
    <x v="2"/>
    <s v="Basic"/>
    <n v="1"/>
    <n v="1"/>
    <n v="1"/>
    <n v="0"/>
    <n v="0"/>
    <n v="0"/>
    <n v="0"/>
    <m/>
    <n v="67.5"/>
  </r>
  <r>
    <x v="526"/>
    <d v="2025-02-06T00:00:00"/>
    <x v="0"/>
    <x v="1"/>
    <x v="1"/>
    <x v="2"/>
    <s v="Basic"/>
    <n v="1"/>
    <n v="0"/>
    <n v="0"/>
    <n v="0"/>
    <n v="0"/>
    <n v="0"/>
    <n v="0"/>
    <m/>
    <n v="36.799999999999997"/>
  </r>
  <r>
    <x v="527"/>
    <d v="2025-02-25T00:00:00"/>
    <x v="0"/>
    <x v="0"/>
    <x v="0"/>
    <x v="1"/>
    <s v="Free"/>
    <n v="0"/>
    <n v="0"/>
    <n v="0"/>
    <n v="0"/>
    <n v="0"/>
    <n v="0"/>
    <n v="0"/>
    <m/>
    <n v="66.5"/>
  </r>
  <r>
    <x v="528"/>
    <d v="2025-05-14T00:00:00"/>
    <x v="0"/>
    <x v="2"/>
    <x v="2"/>
    <x v="4"/>
    <s v="Free"/>
    <n v="1"/>
    <n v="0"/>
    <n v="0"/>
    <n v="0"/>
    <n v="0"/>
    <n v="0"/>
    <n v="0"/>
    <m/>
    <n v="35.4"/>
  </r>
  <r>
    <x v="529"/>
    <d v="2025-05-20T00:00:00"/>
    <x v="0"/>
    <x v="3"/>
    <x v="1"/>
    <x v="1"/>
    <s v="Basic"/>
    <n v="0"/>
    <n v="0"/>
    <n v="0"/>
    <n v="0"/>
    <n v="0"/>
    <n v="0"/>
    <n v="0"/>
    <m/>
    <n v="64.3"/>
  </r>
  <r>
    <x v="530"/>
    <d v="2025-02-11T00:00:00"/>
    <x v="0"/>
    <x v="3"/>
    <x v="1"/>
    <x v="1"/>
    <s v="Free"/>
    <n v="0"/>
    <n v="0"/>
    <n v="0"/>
    <n v="0"/>
    <n v="0"/>
    <n v="0"/>
    <n v="0"/>
    <m/>
    <n v="49.1"/>
  </r>
  <r>
    <x v="531"/>
    <d v="2025-02-13T00:00:00"/>
    <x v="0"/>
    <x v="1"/>
    <x v="1"/>
    <x v="1"/>
    <s v="Free"/>
    <n v="1"/>
    <n v="0"/>
    <n v="0"/>
    <n v="0"/>
    <n v="0"/>
    <n v="0"/>
    <n v="0"/>
    <m/>
    <n v="84.3"/>
  </r>
  <r>
    <x v="532"/>
    <d v="2025-04-07T00:00:00"/>
    <x v="0"/>
    <x v="3"/>
    <x v="1"/>
    <x v="2"/>
    <s v="Premium"/>
    <n v="1"/>
    <n v="0"/>
    <n v="0"/>
    <n v="0"/>
    <n v="0"/>
    <n v="0"/>
    <n v="0"/>
    <m/>
    <n v="65.599999999999994"/>
  </r>
  <r>
    <x v="533"/>
    <d v="2025-03-08T00:00:00"/>
    <x v="0"/>
    <x v="2"/>
    <x v="1"/>
    <x v="0"/>
    <s v="Free"/>
    <n v="1"/>
    <n v="0"/>
    <n v="0"/>
    <n v="0"/>
    <n v="0"/>
    <n v="0"/>
    <n v="0"/>
    <m/>
    <n v="47.1"/>
  </r>
  <r>
    <x v="534"/>
    <d v="2025-02-16T00:00:00"/>
    <x v="0"/>
    <x v="0"/>
    <x v="0"/>
    <x v="2"/>
    <s v="Free"/>
    <n v="1"/>
    <n v="1"/>
    <n v="1"/>
    <n v="0"/>
    <n v="0"/>
    <n v="0"/>
    <n v="0"/>
    <m/>
    <n v="70"/>
  </r>
  <r>
    <x v="535"/>
    <d v="2025-04-28T00:00:00"/>
    <x v="0"/>
    <x v="3"/>
    <x v="1"/>
    <x v="2"/>
    <s v="Premium"/>
    <n v="1"/>
    <n v="0"/>
    <n v="0"/>
    <n v="0"/>
    <n v="0"/>
    <n v="0"/>
    <n v="0"/>
    <m/>
    <n v="54.6"/>
  </r>
  <r>
    <x v="536"/>
    <d v="2025-03-10T00:00:00"/>
    <x v="0"/>
    <x v="1"/>
    <x v="2"/>
    <x v="4"/>
    <s v="Basic"/>
    <n v="1"/>
    <n v="1"/>
    <n v="0"/>
    <n v="0"/>
    <n v="0"/>
    <n v="1"/>
    <n v="0"/>
    <m/>
    <n v="65.2"/>
  </r>
  <r>
    <x v="537"/>
    <d v="2025-01-25T00:00:00"/>
    <x v="0"/>
    <x v="2"/>
    <x v="1"/>
    <x v="4"/>
    <s v="Free"/>
    <n v="1"/>
    <n v="0"/>
    <n v="0"/>
    <n v="0"/>
    <n v="0"/>
    <n v="0"/>
    <n v="0"/>
    <m/>
    <n v="65"/>
  </r>
  <r>
    <x v="538"/>
    <d v="2025-01-11T00:00:00"/>
    <x v="0"/>
    <x v="1"/>
    <x v="1"/>
    <x v="2"/>
    <s v="Premium"/>
    <n v="1"/>
    <n v="1"/>
    <n v="1"/>
    <n v="0"/>
    <n v="0"/>
    <n v="1"/>
    <n v="0"/>
    <m/>
    <n v="42.1"/>
  </r>
  <r>
    <x v="539"/>
    <d v="2025-03-31T00:00:00"/>
    <x v="0"/>
    <x v="1"/>
    <x v="2"/>
    <x v="2"/>
    <s v="Free"/>
    <n v="1"/>
    <n v="0"/>
    <n v="0"/>
    <n v="0"/>
    <n v="0"/>
    <n v="0"/>
    <n v="0"/>
    <m/>
    <n v="43.4"/>
  </r>
  <r>
    <x v="540"/>
    <d v="2025-05-22T00:00:00"/>
    <x v="0"/>
    <x v="0"/>
    <x v="1"/>
    <x v="2"/>
    <s v="Basic"/>
    <n v="1"/>
    <n v="1"/>
    <n v="0"/>
    <n v="0"/>
    <n v="0"/>
    <n v="0"/>
    <n v="0"/>
    <m/>
    <n v="39.9"/>
  </r>
  <r>
    <x v="541"/>
    <d v="2025-05-16T00:00:00"/>
    <x v="0"/>
    <x v="0"/>
    <x v="1"/>
    <x v="3"/>
    <s v="Basic"/>
    <n v="0"/>
    <n v="0"/>
    <n v="0"/>
    <n v="0"/>
    <n v="0"/>
    <n v="0"/>
    <n v="0"/>
    <m/>
    <n v="74.099999999999994"/>
  </r>
  <r>
    <x v="542"/>
    <d v="2025-04-25T00:00:00"/>
    <x v="0"/>
    <x v="2"/>
    <x v="0"/>
    <x v="2"/>
    <s v="Free"/>
    <n v="1"/>
    <n v="0"/>
    <n v="0"/>
    <n v="0"/>
    <n v="0"/>
    <n v="0"/>
    <n v="0"/>
    <m/>
    <n v="61.4"/>
  </r>
  <r>
    <x v="543"/>
    <d v="2025-04-17T00:00:00"/>
    <x v="0"/>
    <x v="2"/>
    <x v="1"/>
    <x v="4"/>
    <s v="Premium"/>
    <n v="1"/>
    <n v="1"/>
    <n v="1"/>
    <n v="0"/>
    <n v="0"/>
    <n v="0"/>
    <n v="0"/>
    <m/>
    <n v="76.8"/>
  </r>
  <r>
    <x v="544"/>
    <d v="2025-01-01T00:00:00"/>
    <x v="0"/>
    <x v="3"/>
    <x v="0"/>
    <x v="4"/>
    <s v="Basic"/>
    <n v="0"/>
    <n v="0"/>
    <n v="0"/>
    <n v="0"/>
    <n v="0"/>
    <n v="0"/>
    <n v="0"/>
    <m/>
    <m/>
  </r>
  <r>
    <x v="545"/>
    <d v="2025-03-18T00:00:00"/>
    <x v="0"/>
    <x v="2"/>
    <x v="1"/>
    <x v="2"/>
    <s v="Basic"/>
    <n v="1"/>
    <n v="1"/>
    <n v="1"/>
    <n v="0"/>
    <n v="0"/>
    <n v="0"/>
    <n v="0"/>
    <m/>
    <n v="45.3"/>
  </r>
  <r>
    <x v="546"/>
    <d v="2025-05-20T00:00:00"/>
    <x v="0"/>
    <x v="0"/>
    <x v="2"/>
    <x v="2"/>
    <s v="Free"/>
    <n v="1"/>
    <n v="0"/>
    <n v="0"/>
    <n v="0"/>
    <n v="0"/>
    <n v="0"/>
    <n v="0"/>
    <m/>
    <n v="41.4"/>
  </r>
  <r>
    <x v="547"/>
    <d v="2025-03-16T00:00:00"/>
    <x v="0"/>
    <x v="0"/>
    <x v="1"/>
    <x v="1"/>
    <s v="Basic"/>
    <n v="1"/>
    <n v="0"/>
    <n v="0"/>
    <n v="0"/>
    <n v="0"/>
    <n v="0"/>
    <n v="0"/>
    <m/>
    <n v="37.1"/>
  </r>
  <r>
    <x v="548"/>
    <d v="2025-05-30T00:00:00"/>
    <x v="0"/>
    <x v="2"/>
    <x v="0"/>
    <x v="4"/>
    <s v="Free"/>
    <n v="1"/>
    <n v="0"/>
    <n v="0"/>
    <n v="0"/>
    <n v="0"/>
    <n v="0"/>
    <n v="0"/>
    <m/>
    <n v="40.700000000000003"/>
  </r>
  <r>
    <x v="549"/>
    <d v="2025-02-20T00:00:00"/>
    <x v="0"/>
    <x v="0"/>
    <x v="1"/>
    <x v="4"/>
    <s v="Premium"/>
    <n v="0"/>
    <n v="0"/>
    <n v="0"/>
    <n v="0"/>
    <n v="0"/>
    <n v="2"/>
    <n v="0"/>
    <m/>
    <n v="55.9"/>
  </r>
  <r>
    <x v="550"/>
    <d v="2025-02-11T00:00:00"/>
    <x v="0"/>
    <x v="2"/>
    <x v="3"/>
    <x v="4"/>
    <s v="Free"/>
    <n v="1"/>
    <n v="1"/>
    <n v="0"/>
    <n v="0"/>
    <n v="0"/>
    <n v="0"/>
    <n v="0"/>
    <m/>
    <n v="55.8"/>
  </r>
  <r>
    <x v="551"/>
    <d v="2025-01-02T00:00:00"/>
    <x v="0"/>
    <x v="3"/>
    <x v="2"/>
    <x v="3"/>
    <s v="Basic"/>
    <n v="1"/>
    <n v="0"/>
    <n v="0"/>
    <n v="0"/>
    <n v="0"/>
    <n v="0"/>
    <n v="0"/>
    <m/>
    <n v="64.3"/>
  </r>
  <r>
    <x v="552"/>
    <d v="2025-05-03T00:00:00"/>
    <x v="0"/>
    <x v="0"/>
    <x v="1"/>
    <x v="1"/>
    <s v="Free"/>
    <n v="0"/>
    <n v="0"/>
    <n v="0"/>
    <n v="0"/>
    <n v="0"/>
    <n v="0"/>
    <n v="0"/>
    <m/>
    <n v="65.400000000000006"/>
  </r>
  <r>
    <x v="553"/>
    <d v="2025-02-24T00:00:00"/>
    <x v="0"/>
    <x v="1"/>
    <x v="1"/>
    <x v="1"/>
    <s v="Free"/>
    <n v="1"/>
    <n v="0"/>
    <n v="0"/>
    <n v="0"/>
    <n v="0"/>
    <n v="0"/>
    <n v="0"/>
    <m/>
    <n v="89.8"/>
  </r>
  <r>
    <x v="554"/>
    <d v="2025-02-11T00:00:00"/>
    <x v="0"/>
    <x v="3"/>
    <x v="3"/>
    <x v="1"/>
    <s v="Free"/>
    <n v="1"/>
    <n v="1"/>
    <n v="1"/>
    <n v="0"/>
    <n v="0"/>
    <n v="0"/>
    <n v="0"/>
    <m/>
    <n v="58.3"/>
  </r>
  <r>
    <x v="555"/>
    <d v="2025-05-06T00:00:00"/>
    <x v="0"/>
    <x v="3"/>
    <x v="1"/>
    <x v="4"/>
    <s v="Basic"/>
    <n v="1"/>
    <n v="0"/>
    <n v="0"/>
    <n v="0"/>
    <n v="0"/>
    <n v="0"/>
    <n v="0"/>
    <m/>
    <n v="64.400000000000006"/>
  </r>
  <r>
    <x v="556"/>
    <d v="2025-05-23T00:00:00"/>
    <x v="0"/>
    <x v="0"/>
    <x v="1"/>
    <x v="2"/>
    <s v="Premium"/>
    <n v="0"/>
    <n v="0"/>
    <n v="0"/>
    <n v="0"/>
    <n v="0"/>
    <n v="0"/>
    <n v="0"/>
    <m/>
    <n v="46.2"/>
  </r>
  <r>
    <x v="557"/>
    <d v="2025-01-09T00:00:00"/>
    <x v="0"/>
    <x v="0"/>
    <x v="0"/>
    <x v="2"/>
    <s v="Free"/>
    <n v="0"/>
    <n v="0"/>
    <n v="0"/>
    <n v="0"/>
    <n v="0"/>
    <n v="0"/>
    <n v="0"/>
    <m/>
    <n v="78"/>
  </r>
  <r>
    <x v="558"/>
    <d v="2025-04-01T00:00:00"/>
    <x v="0"/>
    <x v="0"/>
    <x v="0"/>
    <x v="1"/>
    <s v="Premium"/>
    <n v="1"/>
    <n v="0"/>
    <n v="0"/>
    <n v="0"/>
    <n v="0"/>
    <n v="0"/>
    <n v="0"/>
    <m/>
    <n v="62.3"/>
  </r>
  <r>
    <x v="559"/>
    <d v="2025-03-08T00:00:00"/>
    <x v="0"/>
    <x v="0"/>
    <x v="1"/>
    <x v="1"/>
    <s v="Free"/>
    <n v="1"/>
    <n v="0"/>
    <n v="0"/>
    <n v="0"/>
    <n v="0"/>
    <n v="0"/>
    <n v="0"/>
    <m/>
    <n v="78.8"/>
  </r>
  <r>
    <x v="560"/>
    <d v="2025-02-20T00:00:00"/>
    <x v="0"/>
    <x v="0"/>
    <x v="1"/>
    <x v="4"/>
    <s v="Basic"/>
    <n v="1"/>
    <n v="0"/>
    <n v="0"/>
    <n v="0"/>
    <n v="0"/>
    <n v="0"/>
    <n v="0"/>
    <m/>
    <n v="25"/>
  </r>
  <r>
    <x v="561"/>
    <d v="2025-03-30T00:00:00"/>
    <x v="0"/>
    <x v="2"/>
    <x v="1"/>
    <x v="4"/>
    <s v="Basic"/>
    <n v="0"/>
    <n v="0"/>
    <n v="0"/>
    <n v="0"/>
    <n v="0"/>
    <n v="0"/>
    <n v="0"/>
    <m/>
    <n v="53.4"/>
  </r>
  <r>
    <x v="562"/>
    <d v="2025-04-10T00:00:00"/>
    <x v="0"/>
    <x v="2"/>
    <x v="0"/>
    <x v="1"/>
    <s v="Basic"/>
    <n v="0"/>
    <n v="0"/>
    <n v="0"/>
    <n v="0"/>
    <n v="0"/>
    <n v="0"/>
    <n v="0"/>
    <m/>
    <n v="40.700000000000003"/>
  </r>
  <r>
    <x v="563"/>
    <d v="2025-03-24T00:00:00"/>
    <x v="0"/>
    <x v="2"/>
    <x v="1"/>
    <x v="1"/>
    <s v="Premium"/>
    <n v="1"/>
    <n v="1"/>
    <n v="0"/>
    <n v="0"/>
    <n v="0"/>
    <n v="0"/>
    <n v="0"/>
    <m/>
    <n v="36.700000000000003"/>
  </r>
  <r>
    <x v="564"/>
    <d v="2025-05-21T00:00:00"/>
    <x v="0"/>
    <x v="1"/>
    <x v="1"/>
    <x v="1"/>
    <s v="Basic"/>
    <n v="1"/>
    <n v="0"/>
    <n v="0"/>
    <n v="0"/>
    <n v="0"/>
    <n v="1"/>
    <n v="0"/>
    <m/>
    <n v="67.5"/>
  </r>
  <r>
    <x v="565"/>
    <d v="2025-03-29T00:00:00"/>
    <x v="0"/>
    <x v="2"/>
    <x v="1"/>
    <x v="4"/>
    <s v="Premium"/>
    <n v="1"/>
    <n v="1"/>
    <n v="1"/>
    <n v="0"/>
    <n v="0"/>
    <n v="0"/>
    <n v="0"/>
    <m/>
    <n v="69.900000000000006"/>
  </r>
  <r>
    <x v="566"/>
    <d v="2025-02-23T00:00:00"/>
    <x v="0"/>
    <x v="0"/>
    <x v="2"/>
    <x v="3"/>
    <s v="Basic"/>
    <n v="1"/>
    <n v="0"/>
    <n v="0"/>
    <n v="0"/>
    <n v="0"/>
    <n v="0"/>
    <n v="0"/>
    <m/>
    <n v="65.099999999999994"/>
  </r>
  <r>
    <x v="567"/>
    <d v="2025-02-16T00:00:00"/>
    <x v="0"/>
    <x v="1"/>
    <x v="1"/>
    <x v="2"/>
    <s v="Premium"/>
    <n v="1"/>
    <n v="0"/>
    <n v="0"/>
    <n v="0"/>
    <n v="0"/>
    <n v="0"/>
    <n v="0"/>
    <m/>
    <n v="48.7"/>
  </r>
  <r>
    <x v="568"/>
    <d v="2025-02-21T00:00:00"/>
    <x v="0"/>
    <x v="1"/>
    <x v="0"/>
    <x v="1"/>
    <s v="Basic"/>
    <n v="1"/>
    <n v="1"/>
    <n v="0"/>
    <n v="0"/>
    <n v="0"/>
    <n v="0"/>
    <n v="0"/>
    <m/>
    <n v="47.2"/>
  </r>
  <r>
    <x v="569"/>
    <d v="2025-01-07T00:00:00"/>
    <x v="0"/>
    <x v="0"/>
    <x v="1"/>
    <x v="3"/>
    <s v="Free"/>
    <n v="1"/>
    <n v="0"/>
    <n v="0"/>
    <n v="0"/>
    <n v="0"/>
    <n v="2"/>
    <n v="0"/>
    <m/>
    <n v="20.3"/>
  </r>
  <r>
    <x v="570"/>
    <d v="2025-03-06T00:00:00"/>
    <x v="0"/>
    <x v="1"/>
    <x v="1"/>
    <x v="2"/>
    <s v="Free"/>
    <n v="0"/>
    <n v="0"/>
    <n v="0"/>
    <n v="0"/>
    <n v="0"/>
    <n v="1"/>
    <n v="0"/>
    <m/>
    <n v="57.8"/>
  </r>
  <r>
    <x v="571"/>
    <d v="2025-03-30T00:00:00"/>
    <x v="0"/>
    <x v="2"/>
    <x v="1"/>
    <x v="0"/>
    <s v="Basic"/>
    <n v="1"/>
    <n v="0"/>
    <n v="0"/>
    <n v="0"/>
    <n v="0"/>
    <n v="0"/>
    <n v="0"/>
    <m/>
    <n v="78.7"/>
  </r>
  <r>
    <x v="572"/>
    <d v="2025-05-31T00:00:00"/>
    <x v="0"/>
    <x v="3"/>
    <x v="0"/>
    <x v="1"/>
    <s v="Free"/>
    <n v="1"/>
    <n v="0"/>
    <n v="0"/>
    <n v="0"/>
    <n v="0"/>
    <n v="0"/>
    <n v="0"/>
    <m/>
    <n v="63.6"/>
  </r>
  <r>
    <x v="573"/>
    <d v="2025-02-20T00:00:00"/>
    <x v="0"/>
    <x v="3"/>
    <x v="1"/>
    <x v="0"/>
    <s v="Free"/>
    <n v="0"/>
    <n v="0"/>
    <n v="0"/>
    <n v="0"/>
    <n v="0"/>
    <n v="2"/>
    <n v="0"/>
    <m/>
    <n v="45.1"/>
  </r>
  <r>
    <x v="574"/>
    <d v="2025-01-13T00:00:00"/>
    <x v="0"/>
    <x v="1"/>
    <x v="1"/>
    <x v="4"/>
    <s v="Free"/>
    <n v="0"/>
    <n v="0"/>
    <n v="0"/>
    <n v="0"/>
    <n v="0"/>
    <n v="0"/>
    <n v="0"/>
    <m/>
    <n v="77.5"/>
  </r>
  <r>
    <x v="575"/>
    <d v="2025-05-13T00:00:00"/>
    <x v="0"/>
    <x v="2"/>
    <x v="0"/>
    <x v="2"/>
    <s v="Basic"/>
    <n v="1"/>
    <n v="1"/>
    <n v="0"/>
    <n v="0"/>
    <n v="0"/>
    <n v="0"/>
    <n v="0"/>
    <m/>
    <n v="58"/>
  </r>
  <r>
    <x v="576"/>
    <d v="2025-04-21T00:00:00"/>
    <x v="0"/>
    <x v="3"/>
    <x v="2"/>
    <x v="1"/>
    <s v="Free"/>
    <n v="1"/>
    <n v="0"/>
    <n v="0"/>
    <n v="0"/>
    <n v="0"/>
    <n v="0"/>
    <n v="0"/>
    <m/>
    <n v="68.099999999999994"/>
  </r>
  <r>
    <x v="577"/>
    <d v="2025-03-01T00:00:00"/>
    <x v="0"/>
    <x v="2"/>
    <x v="2"/>
    <x v="1"/>
    <s v="Premium"/>
    <n v="1"/>
    <n v="0"/>
    <n v="0"/>
    <n v="0"/>
    <n v="0"/>
    <n v="0"/>
    <n v="0"/>
    <m/>
    <n v="35.4"/>
  </r>
  <r>
    <x v="578"/>
    <d v="2025-03-10T00:00:00"/>
    <x v="0"/>
    <x v="1"/>
    <x v="2"/>
    <x v="1"/>
    <s v="Free"/>
    <n v="0"/>
    <n v="0"/>
    <n v="0"/>
    <n v="0"/>
    <n v="0"/>
    <n v="0"/>
    <n v="0"/>
    <m/>
    <n v="47"/>
  </r>
  <r>
    <x v="579"/>
    <d v="2025-03-08T00:00:00"/>
    <x v="0"/>
    <x v="2"/>
    <x v="0"/>
    <x v="2"/>
    <s v="Free"/>
    <n v="0"/>
    <n v="0"/>
    <n v="0"/>
    <n v="0"/>
    <n v="0"/>
    <n v="0"/>
    <n v="0"/>
    <m/>
    <n v="75"/>
  </r>
  <r>
    <x v="580"/>
    <d v="2025-05-26T00:00:00"/>
    <x v="0"/>
    <x v="3"/>
    <x v="0"/>
    <x v="2"/>
    <s v="Free"/>
    <n v="1"/>
    <n v="1"/>
    <n v="1"/>
    <n v="0"/>
    <n v="0"/>
    <n v="3"/>
    <n v="0"/>
    <m/>
    <n v="50.2"/>
  </r>
  <r>
    <x v="581"/>
    <d v="2025-05-20T00:00:00"/>
    <x v="0"/>
    <x v="2"/>
    <x v="0"/>
    <x v="2"/>
    <s v="Free"/>
    <n v="1"/>
    <n v="0"/>
    <n v="0"/>
    <n v="0"/>
    <n v="0"/>
    <n v="0"/>
    <n v="0"/>
    <m/>
    <n v="40.1"/>
  </r>
  <r>
    <x v="582"/>
    <d v="2025-03-22T00:00:00"/>
    <x v="0"/>
    <x v="1"/>
    <x v="0"/>
    <x v="2"/>
    <s v="Free"/>
    <n v="0"/>
    <n v="0"/>
    <n v="0"/>
    <n v="0"/>
    <n v="0"/>
    <n v="0"/>
    <n v="0"/>
    <m/>
    <n v="61.1"/>
  </r>
  <r>
    <x v="583"/>
    <d v="2025-02-15T00:00:00"/>
    <x v="0"/>
    <x v="3"/>
    <x v="0"/>
    <x v="2"/>
    <s v="Free"/>
    <n v="0"/>
    <n v="0"/>
    <n v="0"/>
    <n v="0"/>
    <n v="0"/>
    <n v="0"/>
    <n v="0"/>
    <m/>
    <n v="42.4"/>
  </r>
  <r>
    <x v="584"/>
    <d v="2025-01-08T00:00:00"/>
    <x v="0"/>
    <x v="0"/>
    <x v="1"/>
    <x v="4"/>
    <s v="Free"/>
    <n v="0"/>
    <n v="0"/>
    <n v="0"/>
    <n v="0"/>
    <n v="0"/>
    <n v="1"/>
    <n v="0"/>
    <m/>
    <n v="46.6"/>
  </r>
  <r>
    <x v="585"/>
    <d v="2025-01-29T00:00:00"/>
    <x v="0"/>
    <x v="3"/>
    <x v="1"/>
    <x v="1"/>
    <s v="Premium"/>
    <n v="1"/>
    <n v="1"/>
    <n v="0"/>
    <n v="0"/>
    <n v="0"/>
    <n v="0"/>
    <n v="0"/>
    <m/>
    <n v="72.099999999999994"/>
  </r>
  <r>
    <x v="586"/>
    <d v="2025-05-07T00:00:00"/>
    <x v="0"/>
    <x v="2"/>
    <x v="2"/>
    <x v="1"/>
    <s v="Free"/>
    <n v="0"/>
    <n v="0"/>
    <n v="0"/>
    <n v="0"/>
    <n v="0"/>
    <n v="0"/>
    <n v="0"/>
    <m/>
    <n v="21.5"/>
  </r>
  <r>
    <x v="587"/>
    <d v="2025-03-01T00:00:00"/>
    <x v="0"/>
    <x v="0"/>
    <x v="1"/>
    <x v="4"/>
    <s v="Basic"/>
    <n v="1"/>
    <n v="0"/>
    <n v="0"/>
    <n v="0"/>
    <n v="0"/>
    <n v="1"/>
    <n v="0"/>
    <m/>
    <n v="65.400000000000006"/>
  </r>
  <r>
    <x v="588"/>
    <d v="2025-04-20T00:00:00"/>
    <x v="0"/>
    <x v="2"/>
    <x v="1"/>
    <x v="1"/>
    <s v="Free"/>
    <n v="1"/>
    <n v="1"/>
    <n v="0"/>
    <n v="0"/>
    <n v="0"/>
    <n v="0"/>
    <n v="0"/>
    <m/>
    <n v="53.3"/>
  </r>
  <r>
    <x v="589"/>
    <d v="2025-01-16T00:00:00"/>
    <x v="0"/>
    <x v="2"/>
    <x v="1"/>
    <x v="1"/>
    <s v="Premium"/>
    <n v="0"/>
    <n v="0"/>
    <n v="0"/>
    <n v="0"/>
    <n v="0"/>
    <n v="2"/>
    <n v="0"/>
    <m/>
    <n v="52.3"/>
  </r>
  <r>
    <x v="590"/>
    <d v="2025-04-04T00:00:00"/>
    <x v="0"/>
    <x v="2"/>
    <x v="1"/>
    <x v="2"/>
    <s v="Free"/>
    <n v="1"/>
    <n v="0"/>
    <n v="0"/>
    <n v="0"/>
    <n v="0"/>
    <n v="0"/>
    <n v="0"/>
    <m/>
    <n v="62.5"/>
  </r>
  <r>
    <x v="591"/>
    <d v="2025-01-29T00:00:00"/>
    <x v="0"/>
    <x v="0"/>
    <x v="2"/>
    <x v="4"/>
    <s v="Free"/>
    <n v="1"/>
    <n v="0"/>
    <n v="0"/>
    <n v="0"/>
    <n v="0"/>
    <n v="0"/>
    <n v="0"/>
    <m/>
    <n v="69.8"/>
  </r>
  <r>
    <x v="592"/>
    <d v="2025-04-19T00:00:00"/>
    <x v="0"/>
    <x v="2"/>
    <x v="1"/>
    <x v="0"/>
    <s v="Free"/>
    <n v="1"/>
    <n v="0"/>
    <n v="0"/>
    <n v="0"/>
    <n v="0"/>
    <n v="0"/>
    <n v="0"/>
    <m/>
    <n v="68.2"/>
  </r>
  <r>
    <x v="593"/>
    <d v="2025-03-10T00:00:00"/>
    <x v="0"/>
    <x v="3"/>
    <x v="1"/>
    <x v="4"/>
    <s v="Basic"/>
    <n v="1"/>
    <n v="1"/>
    <n v="1"/>
    <n v="1"/>
    <n v="751.73"/>
    <n v="0"/>
    <n v="0"/>
    <n v="6"/>
    <n v="35.200000000000003"/>
  </r>
  <r>
    <x v="594"/>
    <d v="2025-05-10T00:00:00"/>
    <x v="0"/>
    <x v="3"/>
    <x v="1"/>
    <x v="4"/>
    <s v="Basic"/>
    <n v="0"/>
    <n v="0"/>
    <n v="0"/>
    <n v="0"/>
    <n v="0"/>
    <n v="0"/>
    <n v="0"/>
    <m/>
    <n v="59.3"/>
  </r>
  <r>
    <x v="595"/>
    <d v="2025-02-02T00:00:00"/>
    <x v="0"/>
    <x v="0"/>
    <x v="1"/>
    <x v="4"/>
    <s v="Free"/>
    <n v="0"/>
    <n v="0"/>
    <n v="0"/>
    <n v="0"/>
    <n v="0"/>
    <n v="0"/>
    <n v="0"/>
    <m/>
    <n v="68.099999999999994"/>
  </r>
  <r>
    <x v="596"/>
    <d v="2025-05-06T00:00:00"/>
    <x v="0"/>
    <x v="0"/>
    <x v="0"/>
    <x v="1"/>
    <s v="Free"/>
    <n v="1"/>
    <n v="1"/>
    <n v="0"/>
    <n v="0"/>
    <n v="0"/>
    <n v="0"/>
    <n v="0"/>
    <m/>
    <n v="74.8"/>
  </r>
  <r>
    <x v="597"/>
    <d v="2025-01-19T00:00:00"/>
    <x v="0"/>
    <x v="1"/>
    <x v="0"/>
    <x v="1"/>
    <s v="Free"/>
    <n v="1"/>
    <n v="1"/>
    <n v="1"/>
    <n v="0"/>
    <n v="0"/>
    <n v="0"/>
    <n v="0"/>
    <m/>
    <n v="61.7"/>
  </r>
  <r>
    <x v="598"/>
    <d v="2025-01-02T00:00:00"/>
    <x v="0"/>
    <x v="0"/>
    <x v="1"/>
    <x v="1"/>
    <s v="Free"/>
    <n v="1"/>
    <n v="0"/>
    <n v="0"/>
    <n v="0"/>
    <n v="0"/>
    <n v="0"/>
    <n v="0"/>
    <m/>
    <n v="24.3"/>
  </r>
  <r>
    <x v="599"/>
    <d v="2025-05-03T00:00:00"/>
    <x v="0"/>
    <x v="3"/>
    <x v="0"/>
    <x v="2"/>
    <s v="Free"/>
    <n v="0"/>
    <n v="0"/>
    <n v="0"/>
    <n v="0"/>
    <n v="0"/>
    <n v="1"/>
    <n v="0"/>
    <m/>
    <n v="61.9"/>
  </r>
  <r>
    <x v="600"/>
    <d v="2025-05-27T00:00:00"/>
    <x v="0"/>
    <x v="2"/>
    <x v="0"/>
    <x v="3"/>
    <s v="Premium"/>
    <n v="0"/>
    <n v="0"/>
    <n v="0"/>
    <n v="0"/>
    <n v="0"/>
    <n v="2"/>
    <n v="0"/>
    <m/>
    <n v="41.7"/>
  </r>
  <r>
    <x v="601"/>
    <d v="2025-02-09T00:00:00"/>
    <x v="0"/>
    <x v="3"/>
    <x v="0"/>
    <x v="4"/>
    <s v="Free"/>
    <n v="1"/>
    <n v="0"/>
    <n v="0"/>
    <n v="0"/>
    <n v="0"/>
    <n v="0"/>
    <n v="0"/>
    <m/>
    <n v="87.6"/>
  </r>
  <r>
    <x v="602"/>
    <d v="2025-05-18T00:00:00"/>
    <x v="0"/>
    <x v="2"/>
    <x v="1"/>
    <x v="2"/>
    <s v="Free"/>
    <n v="1"/>
    <n v="0"/>
    <n v="0"/>
    <n v="0"/>
    <n v="0"/>
    <n v="0"/>
    <n v="0"/>
    <m/>
    <n v="30.8"/>
  </r>
  <r>
    <x v="603"/>
    <d v="2025-05-17T00:00:00"/>
    <x v="0"/>
    <x v="0"/>
    <x v="1"/>
    <x v="0"/>
    <s v="Free"/>
    <n v="0"/>
    <n v="0"/>
    <n v="0"/>
    <n v="0"/>
    <n v="0"/>
    <n v="0"/>
    <n v="0"/>
    <m/>
    <n v="54"/>
  </r>
  <r>
    <x v="604"/>
    <d v="2025-01-25T00:00:00"/>
    <x v="0"/>
    <x v="2"/>
    <x v="0"/>
    <x v="3"/>
    <s v="Basic"/>
    <n v="1"/>
    <n v="0"/>
    <n v="0"/>
    <n v="0"/>
    <n v="0"/>
    <n v="1"/>
    <n v="0"/>
    <m/>
    <n v="54.5"/>
  </r>
  <r>
    <x v="605"/>
    <d v="2025-05-04T00:00:00"/>
    <x v="0"/>
    <x v="1"/>
    <x v="1"/>
    <x v="2"/>
    <s v="Premium"/>
    <n v="1"/>
    <n v="1"/>
    <n v="0"/>
    <n v="0"/>
    <n v="0"/>
    <n v="0"/>
    <n v="0"/>
    <m/>
    <n v="61.3"/>
  </r>
  <r>
    <x v="606"/>
    <d v="2025-04-14T00:00:00"/>
    <x v="0"/>
    <x v="1"/>
    <x v="1"/>
    <x v="1"/>
    <s v="Free"/>
    <n v="1"/>
    <n v="0"/>
    <n v="0"/>
    <n v="0"/>
    <n v="0"/>
    <n v="0"/>
    <n v="0"/>
    <m/>
    <n v="62.7"/>
  </r>
  <r>
    <x v="607"/>
    <d v="2025-04-18T00:00:00"/>
    <x v="0"/>
    <x v="3"/>
    <x v="1"/>
    <x v="2"/>
    <s v="Free"/>
    <n v="1"/>
    <n v="1"/>
    <n v="0"/>
    <n v="0"/>
    <n v="0"/>
    <n v="0"/>
    <n v="0"/>
    <m/>
    <n v="43.1"/>
  </r>
  <r>
    <x v="608"/>
    <d v="2025-02-24T00:00:00"/>
    <x v="0"/>
    <x v="3"/>
    <x v="0"/>
    <x v="0"/>
    <s v="Basic"/>
    <n v="0"/>
    <n v="0"/>
    <n v="0"/>
    <n v="0"/>
    <n v="0"/>
    <n v="0"/>
    <n v="0"/>
    <m/>
    <n v="59.9"/>
  </r>
  <r>
    <x v="609"/>
    <d v="2025-04-19T00:00:00"/>
    <x v="0"/>
    <x v="0"/>
    <x v="2"/>
    <x v="2"/>
    <s v="Free"/>
    <n v="1"/>
    <n v="1"/>
    <n v="1"/>
    <n v="0"/>
    <n v="0"/>
    <n v="0"/>
    <n v="0"/>
    <m/>
    <n v="55.7"/>
  </r>
  <r>
    <x v="610"/>
    <d v="2025-03-07T00:00:00"/>
    <x v="0"/>
    <x v="3"/>
    <x v="0"/>
    <x v="1"/>
    <s v="Basic"/>
    <n v="1"/>
    <n v="0"/>
    <n v="0"/>
    <n v="0"/>
    <n v="0"/>
    <n v="0"/>
    <n v="0"/>
    <m/>
    <n v="37.1"/>
  </r>
  <r>
    <x v="611"/>
    <d v="2025-03-09T00:00:00"/>
    <x v="0"/>
    <x v="2"/>
    <x v="1"/>
    <x v="1"/>
    <s v="Basic"/>
    <n v="0"/>
    <n v="0"/>
    <n v="0"/>
    <n v="0"/>
    <n v="0"/>
    <n v="1"/>
    <n v="0"/>
    <m/>
    <n v="46.7"/>
  </r>
  <r>
    <x v="612"/>
    <d v="2025-05-01T00:00:00"/>
    <x v="0"/>
    <x v="3"/>
    <x v="0"/>
    <x v="1"/>
    <s v="Basic"/>
    <n v="1"/>
    <n v="0"/>
    <n v="0"/>
    <n v="0"/>
    <n v="0"/>
    <n v="0"/>
    <n v="0"/>
    <m/>
    <n v="54.1"/>
  </r>
  <r>
    <x v="613"/>
    <d v="2025-02-09T00:00:00"/>
    <x v="0"/>
    <x v="1"/>
    <x v="0"/>
    <x v="1"/>
    <s v="Premium"/>
    <n v="1"/>
    <n v="1"/>
    <n v="1"/>
    <n v="0"/>
    <n v="0"/>
    <n v="0"/>
    <n v="0"/>
    <m/>
    <n v="56.1"/>
  </r>
  <r>
    <x v="614"/>
    <d v="2025-05-22T00:00:00"/>
    <x v="0"/>
    <x v="1"/>
    <x v="1"/>
    <x v="3"/>
    <s v="Premium"/>
    <n v="0"/>
    <n v="0"/>
    <n v="0"/>
    <n v="0"/>
    <n v="0"/>
    <n v="0"/>
    <n v="0"/>
    <m/>
    <n v="23.6"/>
  </r>
  <r>
    <x v="615"/>
    <d v="2025-02-11T00:00:00"/>
    <x v="0"/>
    <x v="0"/>
    <x v="1"/>
    <x v="1"/>
    <s v="Premium"/>
    <n v="0"/>
    <n v="0"/>
    <n v="0"/>
    <n v="0"/>
    <n v="0"/>
    <n v="0"/>
    <n v="0"/>
    <m/>
    <n v="54.7"/>
  </r>
  <r>
    <x v="616"/>
    <d v="2025-04-12T00:00:00"/>
    <x v="0"/>
    <x v="0"/>
    <x v="1"/>
    <x v="3"/>
    <s v="Basic"/>
    <n v="0"/>
    <n v="0"/>
    <n v="0"/>
    <n v="0"/>
    <n v="0"/>
    <n v="2"/>
    <n v="0"/>
    <m/>
    <n v="50.4"/>
  </r>
  <r>
    <x v="617"/>
    <d v="2025-03-01T00:00:00"/>
    <x v="0"/>
    <x v="1"/>
    <x v="1"/>
    <x v="4"/>
    <s v="Free"/>
    <n v="1"/>
    <n v="0"/>
    <n v="0"/>
    <n v="0"/>
    <n v="0"/>
    <n v="0"/>
    <n v="0"/>
    <m/>
    <n v="54.5"/>
  </r>
  <r>
    <x v="618"/>
    <d v="2025-03-17T00:00:00"/>
    <x v="0"/>
    <x v="1"/>
    <x v="0"/>
    <x v="0"/>
    <s v="Basic"/>
    <n v="0"/>
    <n v="0"/>
    <n v="0"/>
    <n v="0"/>
    <n v="0"/>
    <n v="0"/>
    <n v="0"/>
    <m/>
    <n v="58"/>
  </r>
  <r>
    <x v="619"/>
    <d v="2025-01-11T00:00:00"/>
    <x v="0"/>
    <x v="0"/>
    <x v="1"/>
    <x v="2"/>
    <s v="Free"/>
    <n v="0"/>
    <n v="0"/>
    <n v="0"/>
    <n v="0"/>
    <n v="0"/>
    <n v="0"/>
    <n v="0"/>
    <m/>
    <n v="42.9"/>
  </r>
  <r>
    <x v="620"/>
    <d v="2025-02-17T00:00:00"/>
    <x v="0"/>
    <x v="3"/>
    <x v="1"/>
    <x v="4"/>
    <s v="Premium"/>
    <n v="1"/>
    <n v="0"/>
    <n v="0"/>
    <n v="0"/>
    <n v="0"/>
    <n v="0"/>
    <n v="0"/>
    <m/>
    <n v="51.1"/>
  </r>
  <r>
    <x v="621"/>
    <d v="2025-03-25T00:00:00"/>
    <x v="0"/>
    <x v="2"/>
    <x v="1"/>
    <x v="2"/>
    <s v="Basic"/>
    <n v="1"/>
    <n v="1"/>
    <n v="0"/>
    <n v="0"/>
    <n v="0"/>
    <n v="0"/>
    <n v="0"/>
    <m/>
    <n v="51.8"/>
  </r>
  <r>
    <x v="622"/>
    <d v="2025-05-01T00:00:00"/>
    <x v="0"/>
    <x v="3"/>
    <x v="1"/>
    <x v="2"/>
    <s v="Free"/>
    <n v="0"/>
    <n v="0"/>
    <n v="0"/>
    <n v="0"/>
    <n v="0"/>
    <n v="0"/>
    <n v="0"/>
    <m/>
    <n v="67.7"/>
  </r>
  <r>
    <x v="623"/>
    <d v="2025-04-02T00:00:00"/>
    <x v="0"/>
    <x v="2"/>
    <x v="1"/>
    <x v="1"/>
    <s v="Basic"/>
    <n v="0"/>
    <n v="0"/>
    <n v="0"/>
    <n v="0"/>
    <n v="0"/>
    <n v="0"/>
    <n v="0"/>
    <m/>
    <n v="75.8"/>
  </r>
  <r>
    <x v="624"/>
    <d v="2025-04-05T00:00:00"/>
    <x v="0"/>
    <x v="2"/>
    <x v="1"/>
    <x v="0"/>
    <s v="Free"/>
    <n v="1"/>
    <n v="1"/>
    <n v="0"/>
    <n v="0"/>
    <n v="0"/>
    <n v="0"/>
    <n v="0"/>
    <m/>
    <n v="72.8"/>
  </r>
  <r>
    <x v="625"/>
    <d v="2025-02-24T00:00:00"/>
    <x v="0"/>
    <x v="0"/>
    <x v="0"/>
    <x v="4"/>
    <s v="Free"/>
    <n v="1"/>
    <n v="1"/>
    <n v="0"/>
    <n v="0"/>
    <n v="0"/>
    <n v="0"/>
    <n v="0"/>
    <m/>
    <n v="54.4"/>
  </r>
  <r>
    <x v="626"/>
    <d v="2025-01-24T00:00:00"/>
    <x v="0"/>
    <x v="1"/>
    <x v="1"/>
    <x v="2"/>
    <s v="Basic"/>
    <n v="1"/>
    <n v="0"/>
    <n v="0"/>
    <n v="0"/>
    <n v="0"/>
    <n v="0"/>
    <n v="0"/>
    <m/>
    <n v="51.8"/>
  </r>
  <r>
    <x v="627"/>
    <d v="2025-04-10T00:00:00"/>
    <x v="0"/>
    <x v="3"/>
    <x v="1"/>
    <x v="2"/>
    <s v="Free"/>
    <n v="0"/>
    <n v="0"/>
    <n v="0"/>
    <n v="0"/>
    <n v="0"/>
    <n v="0"/>
    <n v="0"/>
    <m/>
    <n v="40.299999999999997"/>
  </r>
  <r>
    <x v="628"/>
    <d v="2025-02-19T00:00:00"/>
    <x v="0"/>
    <x v="3"/>
    <x v="1"/>
    <x v="3"/>
    <s v="Free"/>
    <n v="1"/>
    <n v="1"/>
    <n v="1"/>
    <n v="0"/>
    <n v="0"/>
    <n v="0"/>
    <n v="0"/>
    <m/>
    <n v="61.7"/>
  </r>
  <r>
    <x v="629"/>
    <d v="2025-03-22T00:00:00"/>
    <x v="0"/>
    <x v="0"/>
    <x v="1"/>
    <x v="4"/>
    <s v="Free"/>
    <n v="0"/>
    <n v="0"/>
    <n v="0"/>
    <n v="0"/>
    <n v="0"/>
    <n v="0"/>
    <n v="0"/>
    <m/>
    <n v="45"/>
  </r>
  <r>
    <x v="630"/>
    <d v="2025-04-08T00:00:00"/>
    <x v="0"/>
    <x v="2"/>
    <x v="0"/>
    <x v="1"/>
    <s v="Premium"/>
    <n v="1"/>
    <n v="1"/>
    <n v="1"/>
    <n v="0"/>
    <n v="0"/>
    <n v="0"/>
    <n v="0"/>
    <m/>
    <n v="60"/>
  </r>
  <r>
    <x v="631"/>
    <d v="2025-03-16T00:00:00"/>
    <x v="0"/>
    <x v="0"/>
    <x v="1"/>
    <x v="4"/>
    <s v="Free"/>
    <n v="1"/>
    <n v="0"/>
    <n v="0"/>
    <n v="0"/>
    <n v="0"/>
    <n v="0"/>
    <n v="0"/>
    <m/>
    <m/>
  </r>
  <r>
    <x v="632"/>
    <d v="2025-03-07T00:00:00"/>
    <x v="0"/>
    <x v="2"/>
    <x v="1"/>
    <x v="2"/>
    <s v="Free"/>
    <n v="1"/>
    <n v="0"/>
    <n v="0"/>
    <n v="0"/>
    <n v="0"/>
    <n v="0"/>
    <n v="0"/>
    <m/>
    <n v="55.5"/>
  </r>
  <r>
    <x v="633"/>
    <d v="2025-03-16T00:00:00"/>
    <x v="0"/>
    <x v="3"/>
    <x v="1"/>
    <x v="3"/>
    <s v="Basic"/>
    <n v="0"/>
    <n v="0"/>
    <n v="0"/>
    <n v="0"/>
    <n v="0"/>
    <n v="0"/>
    <n v="0"/>
    <m/>
    <n v="51.8"/>
  </r>
  <r>
    <x v="634"/>
    <d v="2025-05-26T00:00:00"/>
    <x v="0"/>
    <x v="2"/>
    <x v="1"/>
    <x v="5"/>
    <s v="Premium"/>
    <n v="1"/>
    <n v="0"/>
    <n v="0"/>
    <n v="0"/>
    <n v="0"/>
    <n v="3"/>
    <n v="0"/>
    <m/>
    <n v="56"/>
  </r>
  <r>
    <x v="635"/>
    <d v="2025-01-14T00:00:00"/>
    <x v="0"/>
    <x v="1"/>
    <x v="1"/>
    <x v="1"/>
    <s v="Free"/>
    <n v="0"/>
    <n v="0"/>
    <n v="0"/>
    <n v="0"/>
    <n v="0"/>
    <n v="0"/>
    <n v="0"/>
    <m/>
    <n v="52.5"/>
  </r>
  <r>
    <x v="636"/>
    <d v="2025-03-30T00:00:00"/>
    <x v="0"/>
    <x v="1"/>
    <x v="1"/>
    <x v="2"/>
    <s v="Premium"/>
    <n v="1"/>
    <n v="0"/>
    <n v="0"/>
    <n v="0"/>
    <n v="0"/>
    <n v="0"/>
    <n v="0"/>
    <m/>
    <n v="42.5"/>
  </r>
  <r>
    <x v="637"/>
    <d v="2025-05-12T00:00:00"/>
    <x v="0"/>
    <x v="2"/>
    <x v="0"/>
    <x v="0"/>
    <s v="Free"/>
    <n v="1"/>
    <n v="1"/>
    <n v="1"/>
    <n v="0"/>
    <n v="0"/>
    <n v="0"/>
    <n v="0"/>
    <m/>
    <n v="65.3"/>
  </r>
  <r>
    <x v="638"/>
    <d v="2025-05-10T00:00:00"/>
    <x v="0"/>
    <x v="1"/>
    <x v="1"/>
    <x v="2"/>
    <s v="Free"/>
    <n v="0"/>
    <n v="0"/>
    <n v="0"/>
    <n v="0"/>
    <n v="0"/>
    <n v="0"/>
    <n v="0"/>
    <m/>
    <n v="37.6"/>
  </r>
  <r>
    <x v="639"/>
    <d v="2025-04-09T00:00:00"/>
    <x v="0"/>
    <x v="2"/>
    <x v="1"/>
    <x v="4"/>
    <s v="Basic"/>
    <n v="0"/>
    <n v="0"/>
    <n v="0"/>
    <n v="0"/>
    <n v="0"/>
    <n v="0"/>
    <n v="0"/>
    <m/>
    <n v="57.8"/>
  </r>
  <r>
    <x v="640"/>
    <d v="2025-05-26T00:00:00"/>
    <x v="0"/>
    <x v="0"/>
    <x v="1"/>
    <x v="4"/>
    <s v="Free"/>
    <n v="1"/>
    <n v="0"/>
    <n v="0"/>
    <n v="0"/>
    <n v="0"/>
    <n v="0"/>
    <n v="0"/>
    <m/>
    <n v="52.7"/>
  </r>
  <r>
    <x v="641"/>
    <d v="2025-02-12T00:00:00"/>
    <x v="0"/>
    <x v="0"/>
    <x v="1"/>
    <x v="1"/>
    <s v="Free"/>
    <n v="1"/>
    <n v="0"/>
    <n v="0"/>
    <n v="0"/>
    <n v="0"/>
    <n v="0"/>
    <n v="0"/>
    <m/>
    <n v="51.7"/>
  </r>
  <r>
    <x v="642"/>
    <d v="2025-04-01T00:00:00"/>
    <x v="0"/>
    <x v="0"/>
    <x v="0"/>
    <x v="0"/>
    <s v="Basic"/>
    <n v="0"/>
    <n v="0"/>
    <n v="0"/>
    <n v="0"/>
    <n v="0"/>
    <n v="0"/>
    <n v="0"/>
    <m/>
    <n v="57"/>
  </r>
  <r>
    <x v="643"/>
    <d v="2025-01-18T00:00:00"/>
    <x v="0"/>
    <x v="3"/>
    <x v="0"/>
    <x v="1"/>
    <s v="Basic"/>
    <n v="0"/>
    <n v="0"/>
    <n v="0"/>
    <n v="0"/>
    <n v="0"/>
    <n v="0"/>
    <n v="0"/>
    <m/>
    <n v="39.5"/>
  </r>
  <r>
    <x v="644"/>
    <d v="2025-04-06T00:00:00"/>
    <x v="0"/>
    <x v="2"/>
    <x v="2"/>
    <x v="1"/>
    <s v="Free"/>
    <n v="1"/>
    <n v="0"/>
    <n v="0"/>
    <n v="0"/>
    <n v="0"/>
    <n v="0"/>
    <n v="0"/>
    <m/>
    <n v="76.5"/>
  </r>
  <r>
    <x v="645"/>
    <d v="2025-04-17T00:00:00"/>
    <x v="0"/>
    <x v="2"/>
    <x v="1"/>
    <x v="1"/>
    <s v="Free"/>
    <n v="1"/>
    <n v="0"/>
    <n v="0"/>
    <n v="0"/>
    <n v="0"/>
    <n v="0"/>
    <n v="0"/>
    <m/>
    <n v="32.4"/>
  </r>
  <r>
    <x v="646"/>
    <d v="2025-02-07T00:00:00"/>
    <x v="0"/>
    <x v="0"/>
    <x v="0"/>
    <x v="2"/>
    <s v="Free"/>
    <n v="0"/>
    <n v="0"/>
    <n v="0"/>
    <n v="0"/>
    <n v="0"/>
    <n v="0"/>
    <n v="0"/>
    <m/>
    <n v="58.6"/>
  </r>
  <r>
    <x v="647"/>
    <d v="2025-03-04T00:00:00"/>
    <x v="0"/>
    <x v="2"/>
    <x v="1"/>
    <x v="1"/>
    <s v="Basic"/>
    <n v="1"/>
    <n v="0"/>
    <n v="0"/>
    <n v="0"/>
    <n v="0"/>
    <n v="0"/>
    <n v="0"/>
    <m/>
    <n v="78.599999999999994"/>
  </r>
  <r>
    <x v="648"/>
    <d v="2025-02-17T00:00:00"/>
    <x v="0"/>
    <x v="0"/>
    <x v="0"/>
    <x v="1"/>
    <s v="Premium"/>
    <n v="0"/>
    <n v="0"/>
    <n v="0"/>
    <n v="0"/>
    <n v="0"/>
    <n v="0"/>
    <n v="0"/>
    <m/>
    <n v="54.5"/>
  </r>
  <r>
    <x v="649"/>
    <d v="2025-05-06T00:00:00"/>
    <x v="0"/>
    <x v="3"/>
    <x v="1"/>
    <x v="3"/>
    <s v="Free"/>
    <n v="1"/>
    <n v="0"/>
    <n v="0"/>
    <n v="0"/>
    <n v="0"/>
    <n v="0"/>
    <n v="0"/>
    <m/>
    <n v="57.6"/>
  </r>
  <r>
    <x v="650"/>
    <d v="2025-03-25T00:00:00"/>
    <x v="0"/>
    <x v="3"/>
    <x v="1"/>
    <x v="3"/>
    <s v="Premium"/>
    <n v="0"/>
    <n v="0"/>
    <n v="0"/>
    <n v="0"/>
    <n v="0"/>
    <n v="0"/>
    <n v="0"/>
    <m/>
    <n v="52.8"/>
  </r>
  <r>
    <x v="651"/>
    <d v="2025-03-04T00:00:00"/>
    <x v="0"/>
    <x v="1"/>
    <x v="1"/>
    <x v="0"/>
    <s v="Premium"/>
    <n v="1"/>
    <n v="0"/>
    <n v="0"/>
    <n v="0"/>
    <n v="0"/>
    <n v="0"/>
    <n v="0"/>
    <m/>
    <n v="52.9"/>
  </r>
  <r>
    <x v="652"/>
    <d v="2025-05-09T00:00:00"/>
    <x v="0"/>
    <x v="1"/>
    <x v="1"/>
    <x v="1"/>
    <s v="Free"/>
    <n v="1"/>
    <n v="0"/>
    <n v="0"/>
    <n v="0"/>
    <n v="0"/>
    <n v="1"/>
    <n v="0"/>
    <m/>
    <n v="55.9"/>
  </r>
  <r>
    <x v="653"/>
    <d v="2025-05-17T00:00:00"/>
    <x v="0"/>
    <x v="1"/>
    <x v="1"/>
    <x v="3"/>
    <s v="Premium"/>
    <n v="1"/>
    <n v="0"/>
    <n v="0"/>
    <n v="0"/>
    <n v="0"/>
    <n v="0"/>
    <n v="0"/>
    <m/>
    <n v="74.2"/>
  </r>
  <r>
    <x v="654"/>
    <d v="2025-01-12T00:00:00"/>
    <x v="0"/>
    <x v="1"/>
    <x v="1"/>
    <x v="1"/>
    <s v="Free"/>
    <n v="0"/>
    <n v="0"/>
    <n v="0"/>
    <n v="0"/>
    <n v="0"/>
    <n v="0"/>
    <n v="0"/>
    <m/>
    <n v="46.3"/>
  </r>
  <r>
    <x v="655"/>
    <d v="2025-03-12T00:00:00"/>
    <x v="0"/>
    <x v="1"/>
    <x v="1"/>
    <x v="1"/>
    <s v="Premium"/>
    <n v="1"/>
    <n v="0"/>
    <n v="0"/>
    <n v="0"/>
    <n v="0"/>
    <n v="0"/>
    <n v="0"/>
    <m/>
    <n v="62"/>
  </r>
  <r>
    <x v="656"/>
    <d v="2025-04-02T00:00:00"/>
    <x v="0"/>
    <x v="3"/>
    <x v="1"/>
    <x v="1"/>
    <s v="Basic"/>
    <n v="0"/>
    <n v="0"/>
    <n v="0"/>
    <n v="0"/>
    <n v="0"/>
    <n v="0"/>
    <n v="0"/>
    <m/>
    <n v="55.6"/>
  </r>
  <r>
    <x v="657"/>
    <d v="2025-01-13T00:00:00"/>
    <x v="0"/>
    <x v="3"/>
    <x v="1"/>
    <x v="1"/>
    <s v="Basic"/>
    <n v="1"/>
    <n v="0"/>
    <n v="0"/>
    <n v="0"/>
    <n v="0"/>
    <n v="0"/>
    <n v="0"/>
    <m/>
    <n v="62.8"/>
  </r>
  <r>
    <x v="658"/>
    <d v="2025-03-07T00:00:00"/>
    <x v="0"/>
    <x v="2"/>
    <x v="1"/>
    <x v="3"/>
    <s v="Free"/>
    <n v="0"/>
    <n v="0"/>
    <n v="0"/>
    <n v="0"/>
    <n v="0"/>
    <n v="0"/>
    <n v="0"/>
    <m/>
    <n v="73.099999999999994"/>
  </r>
  <r>
    <x v="659"/>
    <d v="2025-04-20T00:00:00"/>
    <x v="0"/>
    <x v="3"/>
    <x v="0"/>
    <x v="4"/>
    <s v="Free"/>
    <n v="1"/>
    <n v="1"/>
    <n v="1"/>
    <n v="1"/>
    <n v="347.52"/>
    <n v="0"/>
    <n v="0"/>
    <n v="2"/>
    <n v="57.2"/>
  </r>
  <r>
    <x v="660"/>
    <d v="2025-01-07T00:00:00"/>
    <x v="0"/>
    <x v="3"/>
    <x v="1"/>
    <x v="2"/>
    <s v="Free"/>
    <n v="1"/>
    <n v="0"/>
    <n v="0"/>
    <n v="0"/>
    <n v="0"/>
    <n v="0"/>
    <n v="0"/>
    <m/>
    <n v="67.900000000000006"/>
  </r>
  <r>
    <x v="661"/>
    <d v="2025-04-23T00:00:00"/>
    <x v="0"/>
    <x v="3"/>
    <x v="1"/>
    <x v="3"/>
    <s v="Free"/>
    <n v="0"/>
    <n v="0"/>
    <n v="0"/>
    <n v="0"/>
    <n v="0"/>
    <n v="0"/>
    <n v="0"/>
    <m/>
    <n v="50.1"/>
  </r>
  <r>
    <x v="662"/>
    <d v="2025-05-26T00:00:00"/>
    <x v="0"/>
    <x v="0"/>
    <x v="1"/>
    <x v="2"/>
    <s v="Basic"/>
    <n v="0"/>
    <n v="0"/>
    <n v="0"/>
    <n v="0"/>
    <n v="0"/>
    <n v="0"/>
    <n v="0"/>
    <m/>
    <n v="67.8"/>
  </r>
  <r>
    <x v="663"/>
    <d v="2025-03-17T00:00:00"/>
    <x v="0"/>
    <x v="0"/>
    <x v="0"/>
    <x v="4"/>
    <s v="Basic"/>
    <n v="1"/>
    <n v="1"/>
    <n v="1"/>
    <n v="0"/>
    <n v="0"/>
    <n v="0"/>
    <n v="0"/>
    <m/>
    <n v="60.8"/>
  </r>
  <r>
    <x v="664"/>
    <d v="2025-05-17T00:00:00"/>
    <x v="0"/>
    <x v="0"/>
    <x v="0"/>
    <x v="2"/>
    <s v="Basic"/>
    <n v="1"/>
    <n v="0"/>
    <n v="0"/>
    <n v="0"/>
    <n v="0"/>
    <n v="3"/>
    <n v="0"/>
    <m/>
    <n v="33.700000000000003"/>
  </r>
  <r>
    <x v="665"/>
    <d v="2025-02-21T00:00:00"/>
    <x v="0"/>
    <x v="0"/>
    <x v="1"/>
    <x v="2"/>
    <s v="Basic"/>
    <n v="0"/>
    <n v="0"/>
    <n v="0"/>
    <n v="0"/>
    <n v="0"/>
    <n v="0"/>
    <n v="0"/>
    <m/>
    <n v="45.2"/>
  </r>
  <r>
    <x v="666"/>
    <d v="2025-02-25T00:00:00"/>
    <x v="0"/>
    <x v="2"/>
    <x v="0"/>
    <x v="2"/>
    <s v="Premium"/>
    <n v="0"/>
    <n v="0"/>
    <n v="0"/>
    <n v="0"/>
    <n v="0"/>
    <n v="0"/>
    <n v="0"/>
    <m/>
    <n v="48.2"/>
  </r>
  <r>
    <x v="667"/>
    <d v="2025-01-30T00:00:00"/>
    <x v="0"/>
    <x v="3"/>
    <x v="1"/>
    <x v="4"/>
    <s v="Free"/>
    <n v="1"/>
    <n v="1"/>
    <n v="0"/>
    <n v="0"/>
    <n v="0"/>
    <n v="1"/>
    <n v="0"/>
    <m/>
    <n v="44.8"/>
  </r>
  <r>
    <x v="668"/>
    <d v="2025-02-17T00:00:00"/>
    <x v="0"/>
    <x v="0"/>
    <x v="2"/>
    <x v="4"/>
    <s v="Basic"/>
    <n v="0"/>
    <n v="0"/>
    <n v="0"/>
    <n v="0"/>
    <n v="0"/>
    <n v="0"/>
    <n v="0"/>
    <m/>
    <n v="52.1"/>
  </r>
  <r>
    <x v="669"/>
    <d v="2025-05-17T00:00:00"/>
    <x v="0"/>
    <x v="0"/>
    <x v="0"/>
    <x v="2"/>
    <s v="Basic"/>
    <n v="1"/>
    <n v="0"/>
    <n v="0"/>
    <n v="0"/>
    <n v="0"/>
    <n v="0"/>
    <n v="0"/>
    <m/>
    <n v="30.7"/>
  </r>
  <r>
    <x v="670"/>
    <d v="2025-04-30T00:00:00"/>
    <x v="0"/>
    <x v="2"/>
    <x v="0"/>
    <x v="2"/>
    <s v="Free"/>
    <n v="1"/>
    <n v="0"/>
    <n v="0"/>
    <n v="0"/>
    <n v="0"/>
    <n v="0"/>
    <n v="0"/>
    <m/>
    <n v="58.4"/>
  </r>
  <r>
    <x v="671"/>
    <d v="2025-03-22T00:00:00"/>
    <x v="0"/>
    <x v="1"/>
    <x v="1"/>
    <x v="3"/>
    <s v="Free"/>
    <n v="1"/>
    <n v="1"/>
    <n v="0"/>
    <n v="0"/>
    <n v="0"/>
    <n v="0"/>
    <n v="0"/>
    <m/>
    <n v="52.6"/>
  </r>
  <r>
    <x v="672"/>
    <d v="2025-01-10T00:00:00"/>
    <x v="0"/>
    <x v="1"/>
    <x v="3"/>
    <x v="2"/>
    <s v="Free"/>
    <n v="1"/>
    <n v="0"/>
    <n v="0"/>
    <n v="0"/>
    <n v="0"/>
    <n v="1"/>
    <n v="0"/>
    <m/>
    <n v="19.100000000000001"/>
  </r>
  <r>
    <x v="673"/>
    <d v="2025-03-21T00:00:00"/>
    <x v="0"/>
    <x v="3"/>
    <x v="3"/>
    <x v="2"/>
    <s v="Free"/>
    <n v="1"/>
    <n v="0"/>
    <n v="0"/>
    <n v="0"/>
    <n v="0"/>
    <n v="0"/>
    <n v="0"/>
    <m/>
    <n v="36.799999999999997"/>
  </r>
  <r>
    <x v="674"/>
    <d v="2025-05-12T00:00:00"/>
    <x v="0"/>
    <x v="0"/>
    <x v="0"/>
    <x v="2"/>
    <s v="Basic"/>
    <n v="0"/>
    <n v="0"/>
    <n v="0"/>
    <n v="0"/>
    <n v="0"/>
    <n v="0"/>
    <n v="0"/>
    <m/>
    <n v="68.5"/>
  </r>
  <r>
    <x v="675"/>
    <d v="2025-05-24T00:00:00"/>
    <x v="0"/>
    <x v="1"/>
    <x v="1"/>
    <x v="2"/>
    <s v="Free"/>
    <n v="1"/>
    <n v="1"/>
    <n v="1"/>
    <n v="0"/>
    <n v="0"/>
    <n v="0"/>
    <n v="0"/>
    <m/>
    <n v="40.1"/>
  </r>
  <r>
    <x v="676"/>
    <d v="2025-05-03T00:00:00"/>
    <x v="0"/>
    <x v="1"/>
    <x v="2"/>
    <x v="1"/>
    <s v="Free"/>
    <n v="1"/>
    <n v="0"/>
    <n v="0"/>
    <n v="0"/>
    <n v="0"/>
    <n v="0"/>
    <n v="0"/>
    <m/>
    <n v="47.5"/>
  </r>
  <r>
    <x v="677"/>
    <d v="2025-01-14T00:00:00"/>
    <x v="0"/>
    <x v="3"/>
    <x v="1"/>
    <x v="1"/>
    <s v="Basic"/>
    <n v="1"/>
    <n v="0"/>
    <n v="0"/>
    <n v="0"/>
    <n v="0"/>
    <n v="0"/>
    <n v="0"/>
    <m/>
    <n v="77.099999999999994"/>
  </r>
  <r>
    <x v="678"/>
    <d v="2025-03-27T00:00:00"/>
    <x v="0"/>
    <x v="1"/>
    <x v="1"/>
    <x v="4"/>
    <s v="Basic"/>
    <n v="1"/>
    <n v="0"/>
    <n v="0"/>
    <n v="0"/>
    <n v="0"/>
    <n v="0"/>
    <n v="0"/>
    <m/>
    <n v="75.900000000000006"/>
  </r>
  <r>
    <x v="679"/>
    <d v="2025-02-28T00:00:00"/>
    <x v="0"/>
    <x v="0"/>
    <x v="0"/>
    <x v="3"/>
    <s v="Premium"/>
    <n v="0"/>
    <n v="0"/>
    <n v="0"/>
    <n v="0"/>
    <n v="0"/>
    <n v="1"/>
    <n v="0"/>
    <m/>
    <n v="52"/>
  </r>
  <r>
    <x v="680"/>
    <d v="2025-05-12T00:00:00"/>
    <x v="0"/>
    <x v="1"/>
    <x v="0"/>
    <x v="3"/>
    <s v="Premium"/>
    <n v="1"/>
    <n v="1"/>
    <n v="1"/>
    <n v="0"/>
    <n v="0"/>
    <n v="0"/>
    <n v="0"/>
    <m/>
    <n v="64.900000000000006"/>
  </r>
  <r>
    <x v="681"/>
    <d v="2025-03-14T00:00:00"/>
    <x v="0"/>
    <x v="0"/>
    <x v="1"/>
    <x v="1"/>
    <s v="Free"/>
    <n v="1"/>
    <n v="0"/>
    <n v="0"/>
    <n v="0"/>
    <n v="0"/>
    <n v="0"/>
    <n v="0"/>
    <m/>
    <n v="48.2"/>
  </r>
  <r>
    <x v="682"/>
    <d v="2025-05-20T00:00:00"/>
    <x v="0"/>
    <x v="2"/>
    <x v="1"/>
    <x v="1"/>
    <s v="Basic"/>
    <n v="0"/>
    <n v="0"/>
    <n v="0"/>
    <n v="0"/>
    <n v="0"/>
    <n v="0"/>
    <n v="0"/>
    <m/>
    <n v="42.1"/>
  </r>
  <r>
    <x v="683"/>
    <d v="2025-02-24T00:00:00"/>
    <x v="0"/>
    <x v="3"/>
    <x v="0"/>
    <x v="3"/>
    <s v="Free"/>
    <n v="0"/>
    <n v="0"/>
    <n v="0"/>
    <n v="0"/>
    <n v="0"/>
    <n v="0"/>
    <n v="0"/>
    <m/>
    <n v="27.6"/>
  </r>
  <r>
    <x v="684"/>
    <d v="2025-02-13T00:00:00"/>
    <x v="0"/>
    <x v="1"/>
    <x v="1"/>
    <x v="1"/>
    <s v="Premium"/>
    <n v="1"/>
    <n v="0"/>
    <n v="0"/>
    <n v="0"/>
    <n v="0"/>
    <n v="1"/>
    <n v="0"/>
    <m/>
    <n v="68.5"/>
  </r>
  <r>
    <x v="685"/>
    <d v="2025-02-06T00:00:00"/>
    <x v="0"/>
    <x v="3"/>
    <x v="0"/>
    <x v="1"/>
    <s v="Free"/>
    <n v="1"/>
    <n v="1"/>
    <n v="1"/>
    <n v="0"/>
    <n v="0"/>
    <n v="0"/>
    <n v="0"/>
    <m/>
    <n v="59.2"/>
  </r>
  <r>
    <x v="686"/>
    <d v="2025-03-02T00:00:00"/>
    <x v="0"/>
    <x v="0"/>
    <x v="1"/>
    <x v="4"/>
    <s v="Basic"/>
    <n v="1"/>
    <n v="0"/>
    <n v="0"/>
    <n v="0"/>
    <n v="0"/>
    <n v="0"/>
    <n v="0"/>
    <m/>
    <n v="63.3"/>
  </r>
  <r>
    <x v="687"/>
    <d v="2025-04-28T00:00:00"/>
    <x v="0"/>
    <x v="2"/>
    <x v="0"/>
    <x v="2"/>
    <s v="Free"/>
    <n v="0"/>
    <n v="0"/>
    <n v="0"/>
    <n v="0"/>
    <n v="0"/>
    <n v="0"/>
    <n v="0"/>
    <m/>
    <n v="55"/>
  </r>
  <r>
    <x v="688"/>
    <d v="2025-05-27T00:00:00"/>
    <x v="0"/>
    <x v="0"/>
    <x v="0"/>
    <x v="5"/>
    <s v="Premium"/>
    <n v="1"/>
    <n v="0"/>
    <n v="0"/>
    <n v="0"/>
    <n v="0"/>
    <n v="0"/>
    <n v="0"/>
    <m/>
    <n v="64.8"/>
  </r>
  <r>
    <x v="689"/>
    <d v="2025-04-07T00:00:00"/>
    <x v="0"/>
    <x v="3"/>
    <x v="0"/>
    <x v="1"/>
    <s v="Basic"/>
    <n v="0"/>
    <n v="0"/>
    <n v="0"/>
    <n v="0"/>
    <n v="0"/>
    <n v="2"/>
    <n v="0"/>
    <m/>
    <n v="41.8"/>
  </r>
  <r>
    <x v="690"/>
    <d v="2025-04-14T00:00:00"/>
    <x v="1"/>
    <x v="2"/>
    <x v="0"/>
    <x v="4"/>
    <s v="Basic"/>
    <n v="1"/>
    <n v="0"/>
    <n v="0"/>
    <n v="0"/>
    <n v="0"/>
    <n v="0"/>
    <n v="0"/>
    <m/>
    <n v="73.2"/>
  </r>
  <r>
    <x v="691"/>
    <d v="2025-05-09T00:00:00"/>
    <x v="1"/>
    <x v="2"/>
    <x v="0"/>
    <x v="1"/>
    <s v="Basic"/>
    <n v="1"/>
    <n v="1"/>
    <n v="1"/>
    <n v="0"/>
    <n v="0"/>
    <n v="3"/>
    <n v="0"/>
    <m/>
    <n v="55.7"/>
  </r>
  <r>
    <x v="692"/>
    <d v="2025-03-21T00:00:00"/>
    <x v="1"/>
    <x v="0"/>
    <x v="1"/>
    <x v="1"/>
    <s v="Free"/>
    <n v="1"/>
    <n v="1"/>
    <n v="1"/>
    <n v="0"/>
    <n v="0"/>
    <n v="0"/>
    <n v="0"/>
    <m/>
    <n v="82.8"/>
  </r>
  <r>
    <x v="693"/>
    <d v="2025-03-27T00:00:00"/>
    <x v="1"/>
    <x v="0"/>
    <x v="0"/>
    <x v="4"/>
    <s v="Free"/>
    <n v="1"/>
    <n v="0"/>
    <n v="0"/>
    <n v="0"/>
    <n v="0"/>
    <n v="0"/>
    <n v="0"/>
    <m/>
    <m/>
  </r>
  <r>
    <x v="694"/>
    <d v="2025-01-21T00:00:00"/>
    <x v="1"/>
    <x v="3"/>
    <x v="1"/>
    <x v="2"/>
    <s v="Free"/>
    <n v="0"/>
    <n v="0"/>
    <n v="0"/>
    <n v="0"/>
    <n v="0"/>
    <n v="0"/>
    <n v="0"/>
    <m/>
    <n v="34.4"/>
  </r>
  <r>
    <x v="695"/>
    <d v="2025-03-19T00:00:00"/>
    <x v="1"/>
    <x v="2"/>
    <x v="0"/>
    <x v="0"/>
    <s v="Free"/>
    <n v="1"/>
    <n v="0"/>
    <n v="0"/>
    <n v="0"/>
    <n v="0"/>
    <n v="0"/>
    <n v="0"/>
    <m/>
    <n v="45.2"/>
  </r>
  <r>
    <x v="696"/>
    <d v="2025-05-27T00:00:00"/>
    <x v="1"/>
    <x v="0"/>
    <x v="1"/>
    <x v="1"/>
    <s v="Basic"/>
    <n v="1"/>
    <n v="0"/>
    <n v="0"/>
    <n v="0"/>
    <n v="0"/>
    <n v="0"/>
    <n v="0"/>
    <m/>
    <n v="71.599999999999994"/>
  </r>
  <r>
    <x v="697"/>
    <d v="2025-01-01T00:00:00"/>
    <x v="1"/>
    <x v="0"/>
    <x v="1"/>
    <x v="4"/>
    <s v="Free"/>
    <n v="1"/>
    <n v="1"/>
    <n v="1"/>
    <n v="0"/>
    <n v="0"/>
    <n v="0"/>
    <n v="0"/>
    <m/>
    <n v="69.099999999999994"/>
  </r>
  <r>
    <x v="698"/>
    <d v="2025-03-29T00:00:00"/>
    <x v="1"/>
    <x v="1"/>
    <x v="0"/>
    <x v="2"/>
    <s v="Premium"/>
    <n v="1"/>
    <n v="0"/>
    <n v="0"/>
    <n v="0"/>
    <n v="0"/>
    <n v="1"/>
    <n v="0"/>
    <m/>
    <n v="37.700000000000003"/>
  </r>
  <r>
    <x v="699"/>
    <d v="2025-03-17T00:00:00"/>
    <x v="1"/>
    <x v="1"/>
    <x v="0"/>
    <x v="1"/>
    <s v="Basic"/>
    <n v="1"/>
    <n v="0"/>
    <n v="0"/>
    <n v="0"/>
    <n v="0"/>
    <n v="1"/>
    <n v="0"/>
    <m/>
    <n v="60.8"/>
  </r>
  <r>
    <x v="700"/>
    <d v="2025-05-05T00:00:00"/>
    <x v="1"/>
    <x v="0"/>
    <x v="1"/>
    <x v="1"/>
    <s v="Free"/>
    <n v="1"/>
    <n v="1"/>
    <n v="1"/>
    <n v="1"/>
    <n v="444.13"/>
    <n v="0"/>
    <n v="0"/>
    <n v="10"/>
    <n v="80.7"/>
  </r>
  <r>
    <x v="701"/>
    <d v="2025-05-04T00:00:00"/>
    <x v="1"/>
    <x v="3"/>
    <x v="1"/>
    <x v="4"/>
    <s v="Free"/>
    <n v="1"/>
    <n v="0"/>
    <n v="0"/>
    <n v="0"/>
    <n v="0"/>
    <n v="0"/>
    <n v="0"/>
    <m/>
    <n v="69.2"/>
  </r>
  <r>
    <x v="702"/>
    <d v="2025-03-25T00:00:00"/>
    <x v="1"/>
    <x v="0"/>
    <x v="1"/>
    <x v="4"/>
    <s v="Premium"/>
    <n v="0"/>
    <n v="0"/>
    <n v="0"/>
    <n v="0"/>
    <n v="0"/>
    <n v="3"/>
    <n v="0"/>
    <m/>
    <n v="55"/>
  </r>
  <r>
    <x v="703"/>
    <d v="2025-04-17T00:00:00"/>
    <x v="1"/>
    <x v="1"/>
    <x v="1"/>
    <x v="0"/>
    <s v="Free"/>
    <n v="0"/>
    <n v="0"/>
    <n v="0"/>
    <n v="0"/>
    <n v="0"/>
    <n v="1"/>
    <n v="0"/>
    <m/>
    <n v="73.599999999999994"/>
  </r>
  <r>
    <x v="704"/>
    <d v="2025-05-23T00:00:00"/>
    <x v="1"/>
    <x v="3"/>
    <x v="1"/>
    <x v="3"/>
    <s v="Basic"/>
    <n v="1"/>
    <n v="1"/>
    <n v="1"/>
    <n v="0"/>
    <n v="0"/>
    <n v="1"/>
    <n v="0"/>
    <m/>
    <n v="47.3"/>
  </r>
  <r>
    <x v="705"/>
    <d v="2025-01-13T00:00:00"/>
    <x v="1"/>
    <x v="0"/>
    <x v="1"/>
    <x v="1"/>
    <s v="Basic"/>
    <n v="0"/>
    <n v="0"/>
    <n v="0"/>
    <n v="0"/>
    <n v="0"/>
    <n v="0"/>
    <n v="0"/>
    <m/>
    <n v="43.6"/>
  </r>
  <r>
    <x v="706"/>
    <d v="2025-01-29T00:00:00"/>
    <x v="1"/>
    <x v="0"/>
    <x v="0"/>
    <x v="1"/>
    <s v="Basic"/>
    <n v="1"/>
    <n v="0"/>
    <n v="0"/>
    <n v="0"/>
    <n v="0"/>
    <n v="0"/>
    <n v="0"/>
    <m/>
    <m/>
  </r>
  <r>
    <x v="707"/>
    <d v="2025-05-11T00:00:00"/>
    <x v="1"/>
    <x v="3"/>
    <x v="1"/>
    <x v="0"/>
    <s v="Free"/>
    <n v="0"/>
    <n v="0"/>
    <n v="0"/>
    <n v="0"/>
    <n v="0"/>
    <n v="0"/>
    <n v="0"/>
    <m/>
    <n v="55.2"/>
  </r>
  <r>
    <x v="708"/>
    <d v="2025-04-22T00:00:00"/>
    <x v="1"/>
    <x v="3"/>
    <x v="1"/>
    <x v="1"/>
    <s v="Basic"/>
    <n v="1"/>
    <n v="0"/>
    <n v="0"/>
    <n v="0"/>
    <n v="0"/>
    <n v="0"/>
    <n v="0"/>
    <m/>
    <n v="49.4"/>
  </r>
  <r>
    <x v="709"/>
    <d v="2025-03-03T00:00:00"/>
    <x v="1"/>
    <x v="3"/>
    <x v="1"/>
    <x v="4"/>
    <s v="Free"/>
    <n v="1"/>
    <n v="1"/>
    <n v="1"/>
    <n v="0"/>
    <n v="0"/>
    <n v="1"/>
    <n v="0"/>
    <m/>
    <n v="60.1"/>
  </r>
  <r>
    <x v="710"/>
    <d v="2025-03-18T00:00:00"/>
    <x v="1"/>
    <x v="0"/>
    <x v="1"/>
    <x v="3"/>
    <s v="Free"/>
    <n v="1"/>
    <n v="0"/>
    <n v="0"/>
    <n v="0"/>
    <n v="0"/>
    <n v="0"/>
    <n v="0"/>
    <m/>
    <n v="55.9"/>
  </r>
  <r>
    <x v="711"/>
    <d v="2025-04-05T00:00:00"/>
    <x v="1"/>
    <x v="0"/>
    <x v="1"/>
    <x v="1"/>
    <s v="Basic"/>
    <n v="1"/>
    <n v="0"/>
    <n v="0"/>
    <n v="0"/>
    <n v="0"/>
    <n v="0"/>
    <n v="0"/>
    <m/>
    <n v="51.5"/>
  </r>
  <r>
    <x v="712"/>
    <d v="2025-04-16T00:00:00"/>
    <x v="1"/>
    <x v="2"/>
    <x v="1"/>
    <x v="1"/>
    <s v="Free"/>
    <n v="1"/>
    <n v="1"/>
    <n v="1"/>
    <n v="1"/>
    <n v="516.66999999999996"/>
    <n v="0"/>
    <n v="0"/>
    <n v="11"/>
    <n v="57.9"/>
  </r>
  <r>
    <x v="713"/>
    <d v="2025-04-20T00:00:00"/>
    <x v="1"/>
    <x v="3"/>
    <x v="1"/>
    <x v="3"/>
    <s v="Free"/>
    <n v="1"/>
    <n v="1"/>
    <n v="1"/>
    <n v="1"/>
    <n v="277.18"/>
    <n v="2"/>
    <n v="0"/>
    <n v="8"/>
    <n v="59.2"/>
  </r>
  <r>
    <x v="714"/>
    <d v="2025-02-15T00:00:00"/>
    <x v="1"/>
    <x v="3"/>
    <x v="1"/>
    <x v="1"/>
    <s v="Free"/>
    <n v="0"/>
    <n v="0"/>
    <n v="0"/>
    <n v="0"/>
    <n v="0"/>
    <n v="0"/>
    <n v="0"/>
    <m/>
    <n v="64.2"/>
  </r>
  <r>
    <x v="715"/>
    <d v="2025-01-21T00:00:00"/>
    <x v="1"/>
    <x v="3"/>
    <x v="1"/>
    <x v="1"/>
    <s v="Free"/>
    <n v="1"/>
    <n v="0"/>
    <n v="0"/>
    <n v="0"/>
    <n v="0"/>
    <n v="0"/>
    <n v="0"/>
    <m/>
    <n v="68.8"/>
  </r>
  <r>
    <x v="716"/>
    <d v="2025-05-23T00:00:00"/>
    <x v="1"/>
    <x v="0"/>
    <x v="1"/>
    <x v="2"/>
    <s v="Premium"/>
    <n v="1"/>
    <n v="1"/>
    <n v="1"/>
    <n v="0"/>
    <n v="0"/>
    <n v="0"/>
    <n v="0"/>
    <m/>
    <n v="77.900000000000006"/>
  </r>
  <r>
    <x v="717"/>
    <d v="2025-01-22T00:00:00"/>
    <x v="1"/>
    <x v="1"/>
    <x v="1"/>
    <x v="2"/>
    <s v="Basic"/>
    <n v="0"/>
    <n v="0"/>
    <n v="0"/>
    <n v="0"/>
    <n v="0"/>
    <n v="0"/>
    <n v="0"/>
    <m/>
    <n v="92.1"/>
  </r>
  <r>
    <x v="718"/>
    <d v="2025-04-24T00:00:00"/>
    <x v="1"/>
    <x v="1"/>
    <x v="1"/>
    <x v="2"/>
    <s v="Premium"/>
    <n v="0"/>
    <n v="0"/>
    <n v="0"/>
    <n v="0"/>
    <n v="0"/>
    <n v="0"/>
    <n v="0"/>
    <m/>
    <n v="63.6"/>
  </r>
  <r>
    <x v="719"/>
    <d v="2025-01-17T00:00:00"/>
    <x v="1"/>
    <x v="1"/>
    <x v="0"/>
    <x v="0"/>
    <s v="Free"/>
    <n v="0"/>
    <n v="0"/>
    <n v="0"/>
    <n v="0"/>
    <n v="0"/>
    <n v="2"/>
    <n v="0"/>
    <m/>
    <n v="61.6"/>
  </r>
  <r>
    <x v="720"/>
    <d v="2025-01-22T00:00:00"/>
    <x v="1"/>
    <x v="2"/>
    <x v="1"/>
    <x v="3"/>
    <s v="Basic"/>
    <n v="1"/>
    <n v="1"/>
    <n v="0"/>
    <n v="0"/>
    <n v="0"/>
    <n v="0"/>
    <n v="0"/>
    <m/>
    <n v="82.3"/>
  </r>
  <r>
    <x v="721"/>
    <d v="2025-05-04T00:00:00"/>
    <x v="1"/>
    <x v="2"/>
    <x v="0"/>
    <x v="2"/>
    <s v="Free"/>
    <n v="1"/>
    <n v="0"/>
    <n v="0"/>
    <n v="0"/>
    <n v="0"/>
    <n v="0"/>
    <n v="0"/>
    <m/>
    <n v="79.3"/>
  </r>
  <r>
    <x v="722"/>
    <d v="2025-03-13T00:00:00"/>
    <x v="1"/>
    <x v="3"/>
    <x v="1"/>
    <x v="5"/>
    <s v="Free"/>
    <n v="0"/>
    <n v="0"/>
    <n v="0"/>
    <n v="0"/>
    <n v="0"/>
    <n v="0"/>
    <n v="0"/>
    <m/>
    <n v="57.7"/>
  </r>
  <r>
    <x v="723"/>
    <d v="2025-01-02T00:00:00"/>
    <x v="1"/>
    <x v="0"/>
    <x v="1"/>
    <x v="1"/>
    <s v="Basic"/>
    <n v="1"/>
    <n v="0"/>
    <n v="0"/>
    <n v="0"/>
    <n v="0"/>
    <n v="0"/>
    <n v="0"/>
    <m/>
    <n v="63.1"/>
  </r>
  <r>
    <x v="724"/>
    <d v="2025-01-13T00:00:00"/>
    <x v="1"/>
    <x v="2"/>
    <x v="1"/>
    <x v="2"/>
    <s v="Basic"/>
    <n v="0"/>
    <n v="0"/>
    <n v="0"/>
    <n v="0"/>
    <n v="0"/>
    <n v="0"/>
    <n v="0"/>
    <m/>
    <n v="72.3"/>
  </r>
  <r>
    <x v="725"/>
    <d v="2025-02-09T00:00:00"/>
    <x v="1"/>
    <x v="2"/>
    <x v="1"/>
    <x v="4"/>
    <s v="Free"/>
    <n v="1"/>
    <n v="1"/>
    <n v="1"/>
    <n v="0"/>
    <n v="0"/>
    <n v="0"/>
    <n v="0"/>
    <m/>
    <n v="78"/>
  </r>
  <r>
    <x v="726"/>
    <d v="2025-04-09T00:00:00"/>
    <x v="1"/>
    <x v="2"/>
    <x v="0"/>
    <x v="4"/>
    <s v="Free"/>
    <n v="1"/>
    <n v="1"/>
    <n v="0"/>
    <n v="0"/>
    <n v="0"/>
    <n v="2"/>
    <n v="0"/>
    <m/>
    <n v="59.1"/>
  </r>
  <r>
    <x v="727"/>
    <d v="2025-01-02T00:00:00"/>
    <x v="1"/>
    <x v="3"/>
    <x v="1"/>
    <x v="2"/>
    <s v="Free"/>
    <n v="1"/>
    <n v="1"/>
    <n v="1"/>
    <n v="1"/>
    <n v="604.09"/>
    <n v="0"/>
    <n v="0"/>
    <n v="7"/>
    <n v="47.1"/>
  </r>
  <r>
    <x v="728"/>
    <d v="2025-02-04T00:00:00"/>
    <x v="1"/>
    <x v="3"/>
    <x v="1"/>
    <x v="5"/>
    <s v="Premium"/>
    <n v="1"/>
    <n v="0"/>
    <n v="0"/>
    <n v="0"/>
    <n v="0"/>
    <n v="0"/>
    <n v="0"/>
    <m/>
    <n v="64.900000000000006"/>
  </r>
  <r>
    <x v="729"/>
    <d v="2025-02-19T00:00:00"/>
    <x v="1"/>
    <x v="3"/>
    <x v="2"/>
    <x v="2"/>
    <s v="Free"/>
    <n v="0"/>
    <n v="0"/>
    <n v="0"/>
    <n v="0"/>
    <n v="0"/>
    <n v="0"/>
    <n v="0"/>
    <m/>
    <n v="67.3"/>
  </r>
  <r>
    <x v="730"/>
    <d v="2025-04-01T00:00:00"/>
    <x v="1"/>
    <x v="2"/>
    <x v="1"/>
    <x v="2"/>
    <s v="Basic"/>
    <n v="1"/>
    <n v="0"/>
    <n v="0"/>
    <n v="0"/>
    <n v="0"/>
    <n v="2"/>
    <n v="0"/>
    <m/>
    <n v="52.9"/>
  </r>
  <r>
    <x v="731"/>
    <d v="2025-01-29T00:00:00"/>
    <x v="1"/>
    <x v="0"/>
    <x v="1"/>
    <x v="3"/>
    <s v="Free"/>
    <n v="1"/>
    <n v="1"/>
    <n v="1"/>
    <n v="1"/>
    <n v="442.37"/>
    <n v="1"/>
    <n v="0"/>
    <n v="4"/>
    <n v="69.900000000000006"/>
  </r>
  <r>
    <x v="732"/>
    <d v="2025-05-18T00:00:00"/>
    <x v="1"/>
    <x v="0"/>
    <x v="1"/>
    <x v="3"/>
    <s v="Basic"/>
    <n v="1"/>
    <n v="1"/>
    <n v="1"/>
    <n v="0"/>
    <n v="0"/>
    <n v="0"/>
    <n v="0"/>
    <m/>
    <n v="78.900000000000006"/>
  </r>
  <r>
    <x v="733"/>
    <d v="2025-04-15T00:00:00"/>
    <x v="1"/>
    <x v="2"/>
    <x v="0"/>
    <x v="4"/>
    <s v="Premium"/>
    <n v="1"/>
    <n v="1"/>
    <n v="0"/>
    <n v="0"/>
    <n v="0"/>
    <n v="0"/>
    <n v="0"/>
    <m/>
    <n v="83.3"/>
  </r>
  <r>
    <x v="734"/>
    <d v="2025-03-28T00:00:00"/>
    <x v="1"/>
    <x v="2"/>
    <x v="0"/>
    <x v="0"/>
    <s v="Free"/>
    <n v="1"/>
    <n v="0"/>
    <n v="0"/>
    <n v="0"/>
    <n v="0"/>
    <n v="1"/>
    <n v="0"/>
    <m/>
    <n v="24.5"/>
  </r>
  <r>
    <x v="735"/>
    <d v="2025-04-01T00:00:00"/>
    <x v="1"/>
    <x v="1"/>
    <x v="1"/>
    <x v="2"/>
    <s v="Basic"/>
    <n v="1"/>
    <n v="1"/>
    <n v="0"/>
    <n v="0"/>
    <n v="0"/>
    <n v="1"/>
    <n v="0"/>
    <m/>
    <n v="56.9"/>
  </r>
  <r>
    <x v="736"/>
    <d v="2025-02-11T00:00:00"/>
    <x v="1"/>
    <x v="1"/>
    <x v="1"/>
    <x v="4"/>
    <s v="Basic"/>
    <n v="1"/>
    <n v="0"/>
    <n v="0"/>
    <n v="0"/>
    <n v="0"/>
    <n v="0"/>
    <n v="0"/>
    <m/>
    <n v="69.900000000000006"/>
  </r>
  <r>
    <x v="737"/>
    <d v="2025-03-04T00:00:00"/>
    <x v="1"/>
    <x v="3"/>
    <x v="1"/>
    <x v="1"/>
    <s v="Free"/>
    <n v="1"/>
    <n v="1"/>
    <n v="1"/>
    <n v="0"/>
    <n v="0"/>
    <n v="0"/>
    <n v="0"/>
    <m/>
    <n v="81.5"/>
  </r>
  <r>
    <x v="738"/>
    <d v="2025-01-21T00:00:00"/>
    <x v="1"/>
    <x v="0"/>
    <x v="2"/>
    <x v="4"/>
    <s v="Basic"/>
    <n v="0"/>
    <n v="0"/>
    <n v="0"/>
    <n v="0"/>
    <n v="0"/>
    <n v="2"/>
    <n v="0"/>
    <m/>
    <n v="37.9"/>
  </r>
  <r>
    <x v="739"/>
    <d v="2025-02-14T00:00:00"/>
    <x v="1"/>
    <x v="0"/>
    <x v="1"/>
    <x v="3"/>
    <s v="Free"/>
    <n v="0"/>
    <n v="0"/>
    <n v="0"/>
    <n v="0"/>
    <n v="0"/>
    <n v="1"/>
    <n v="0"/>
    <m/>
    <n v="61.7"/>
  </r>
  <r>
    <x v="740"/>
    <d v="2025-03-30T00:00:00"/>
    <x v="1"/>
    <x v="0"/>
    <x v="0"/>
    <x v="5"/>
    <s v="Premium"/>
    <n v="1"/>
    <n v="0"/>
    <n v="0"/>
    <n v="0"/>
    <n v="0"/>
    <n v="2"/>
    <n v="0"/>
    <m/>
    <n v="53.2"/>
  </r>
  <r>
    <x v="741"/>
    <d v="2025-01-08T00:00:00"/>
    <x v="1"/>
    <x v="0"/>
    <x v="1"/>
    <x v="3"/>
    <s v="Free"/>
    <n v="0"/>
    <n v="0"/>
    <n v="0"/>
    <n v="0"/>
    <n v="0"/>
    <n v="0"/>
    <n v="0"/>
    <m/>
    <n v="61.9"/>
  </r>
  <r>
    <x v="742"/>
    <d v="2025-02-07T00:00:00"/>
    <x v="1"/>
    <x v="0"/>
    <x v="1"/>
    <x v="4"/>
    <s v="Free"/>
    <n v="1"/>
    <n v="1"/>
    <n v="1"/>
    <n v="0"/>
    <n v="0"/>
    <n v="0"/>
    <n v="0"/>
    <m/>
    <n v="68.900000000000006"/>
  </r>
  <r>
    <x v="743"/>
    <d v="2025-02-01T00:00:00"/>
    <x v="1"/>
    <x v="0"/>
    <x v="2"/>
    <x v="2"/>
    <s v="Basic"/>
    <n v="0"/>
    <n v="0"/>
    <n v="0"/>
    <n v="0"/>
    <n v="0"/>
    <n v="0"/>
    <n v="0"/>
    <m/>
    <n v="66.3"/>
  </r>
  <r>
    <x v="744"/>
    <d v="2025-01-04T00:00:00"/>
    <x v="1"/>
    <x v="2"/>
    <x v="1"/>
    <x v="0"/>
    <s v="Free"/>
    <n v="1"/>
    <n v="1"/>
    <n v="1"/>
    <n v="0"/>
    <n v="0"/>
    <n v="0"/>
    <n v="0"/>
    <m/>
    <n v="54.6"/>
  </r>
  <r>
    <x v="745"/>
    <d v="2025-05-16T00:00:00"/>
    <x v="1"/>
    <x v="3"/>
    <x v="0"/>
    <x v="3"/>
    <s v="Free"/>
    <n v="0"/>
    <n v="0"/>
    <n v="0"/>
    <n v="0"/>
    <n v="0"/>
    <n v="0"/>
    <n v="0"/>
    <m/>
    <n v="53.8"/>
  </r>
  <r>
    <x v="746"/>
    <d v="2025-02-28T00:00:00"/>
    <x v="1"/>
    <x v="1"/>
    <x v="1"/>
    <x v="3"/>
    <s v="Free"/>
    <n v="1"/>
    <n v="0"/>
    <n v="0"/>
    <n v="0"/>
    <n v="0"/>
    <n v="0"/>
    <n v="0"/>
    <m/>
    <n v="59.5"/>
  </r>
  <r>
    <x v="747"/>
    <d v="2025-04-12T00:00:00"/>
    <x v="1"/>
    <x v="0"/>
    <x v="1"/>
    <x v="3"/>
    <s v="Free"/>
    <n v="1"/>
    <n v="0"/>
    <n v="0"/>
    <n v="0"/>
    <n v="0"/>
    <n v="0"/>
    <n v="0"/>
    <m/>
    <n v="52.6"/>
  </r>
  <r>
    <x v="748"/>
    <d v="2025-03-23T00:00:00"/>
    <x v="1"/>
    <x v="3"/>
    <x v="0"/>
    <x v="1"/>
    <s v="Free"/>
    <n v="0"/>
    <n v="0"/>
    <n v="0"/>
    <n v="0"/>
    <n v="0"/>
    <n v="0"/>
    <n v="0"/>
    <m/>
    <n v="49"/>
  </r>
  <r>
    <x v="749"/>
    <d v="2025-05-29T00:00:00"/>
    <x v="1"/>
    <x v="0"/>
    <x v="2"/>
    <x v="1"/>
    <s v="Free"/>
    <n v="1"/>
    <n v="0"/>
    <n v="0"/>
    <n v="0"/>
    <n v="0"/>
    <n v="0"/>
    <n v="0"/>
    <m/>
    <n v="59.3"/>
  </r>
  <r>
    <x v="750"/>
    <d v="2025-05-21T00:00:00"/>
    <x v="1"/>
    <x v="3"/>
    <x v="0"/>
    <x v="1"/>
    <s v="Basic"/>
    <n v="0"/>
    <n v="0"/>
    <n v="0"/>
    <n v="0"/>
    <n v="0"/>
    <n v="0"/>
    <n v="0"/>
    <m/>
    <n v="67.2"/>
  </r>
  <r>
    <x v="751"/>
    <d v="2025-01-05T00:00:00"/>
    <x v="1"/>
    <x v="3"/>
    <x v="1"/>
    <x v="3"/>
    <s v="Premium"/>
    <n v="0"/>
    <n v="0"/>
    <n v="0"/>
    <n v="0"/>
    <n v="0"/>
    <n v="0"/>
    <n v="0"/>
    <m/>
    <n v="73.5"/>
  </r>
  <r>
    <x v="752"/>
    <d v="2025-03-19T00:00:00"/>
    <x v="1"/>
    <x v="2"/>
    <x v="2"/>
    <x v="1"/>
    <s v="Free"/>
    <n v="1"/>
    <n v="0"/>
    <n v="0"/>
    <n v="0"/>
    <n v="0"/>
    <n v="0"/>
    <n v="0"/>
    <m/>
    <n v="61.2"/>
  </r>
  <r>
    <x v="753"/>
    <d v="2025-04-24T00:00:00"/>
    <x v="1"/>
    <x v="2"/>
    <x v="1"/>
    <x v="1"/>
    <s v="Free"/>
    <n v="1"/>
    <n v="0"/>
    <n v="0"/>
    <n v="0"/>
    <n v="0"/>
    <n v="1"/>
    <n v="0"/>
    <m/>
    <n v="56.4"/>
  </r>
  <r>
    <x v="754"/>
    <d v="2025-03-10T00:00:00"/>
    <x v="1"/>
    <x v="0"/>
    <x v="2"/>
    <x v="1"/>
    <s v="Free"/>
    <n v="0"/>
    <n v="0"/>
    <n v="0"/>
    <n v="0"/>
    <n v="0"/>
    <n v="3"/>
    <n v="0"/>
    <m/>
    <n v="72.599999999999994"/>
  </r>
  <r>
    <x v="755"/>
    <d v="2025-02-22T00:00:00"/>
    <x v="1"/>
    <x v="3"/>
    <x v="2"/>
    <x v="3"/>
    <s v="Basic"/>
    <n v="1"/>
    <n v="0"/>
    <n v="0"/>
    <n v="0"/>
    <n v="0"/>
    <n v="0"/>
    <n v="0"/>
    <m/>
    <n v="61.7"/>
  </r>
  <r>
    <x v="756"/>
    <d v="2025-05-17T00:00:00"/>
    <x v="1"/>
    <x v="2"/>
    <x v="1"/>
    <x v="4"/>
    <s v="Free"/>
    <n v="0"/>
    <n v="0"/>
    <n v="0"/>
    <n v="0"/>
    <n v="0"/>
    <n v="1"/>
    <n v="0"/>
    <m/>
    <n v="66.900000000000006"/>
  </r>
  <r>
    <x v="757"/>
    <d v="2025-05-09T00:00:00"/>
    <x v="1"/>
    <x v="2"/>
    <x v="2"/>
    <x v="3"/>
    <s v="Premium"/>
    <n v="1"/>
    <n v="1"/>
    <n v="1"/>
    <n v="1"/>
    <n v="1506.24"/>
    <n v="1"/>
    <n v="0"/>
    <n v="7"/>
    <n v="64.900000000000006"/>
  </r>
  <r>
    <x v="758"/>
    <d v="2025-04-26T00:00:00"/>
    <x v="1"/>
    <x v="2"/>
    <x v="2"/>
    <x v="1"/>
    <s v="Premium"/>
    <n v="1"/>
    <n v="0"/>
    <n v="0"/>
    <n v="0"/>
    <n v="0"/>
    <n v="0"/>
    <n v="0"/>
    <m/>
    <n v="57.5"/>
  </r>
  <r>
    <x v="759"/>
    <d v="2025-03-15T00:00:00"/>
    <x v="1"/>
    <x v="1"/>
    <x v="0"/>
    <x v="4"/>
    <s v="Free"/>
    <n v="1"/>
    <n v="1"/>
    <n v="1"/>
    <n v="0"/>
    <n v="0"/>
    <n v="0"/>
    <n v="0"/>
    <m/>
    <n v="76.3"/>
  </r>
  <r>
    <x v="760"/>
    <d v="2025-04-03T00:00:00"/>
    <x v="1"/>
    <x v="0"/>
    <x v="1"/>
    <x v="2"/>
    <s v="Free"/>
    <n v="0"/>
    <n v="0"/>
    <n v="0"/>
    <n v="0"/>
    <n v="0"/>
    <n v="0"/>
    <n v="0"/>
    <m/>
    <n v="47.5"/>
  </r>
  <r>
    <x v="761"/>
    <d v="2025-03-26T00:00:00"/>
    <x v="1"/>
    <x v="3"/>
    <x v="1"/>
    <x v="2"/>
    <s v="Free"/>
    <n v="0"/>
    <n v="0"/>
    <n v="0"/>
    <n v="0"/>
    <n v="0"/>
    <n v="0"/>
    <n v="0"/>
    <m/>
    <m/>
  </r>
  <r>
    <x v="762"/>
    <d v="2025-02-05T00:00:00"/>
    <x v="1"/>
    <x v="1"/>
    <x v="0"/>
    <x v="1"/>
    <s v="Basic"/>
    <n v="1"/>
    <n v="1"/>
    <n v="0"/>
    <n v="0"/>
    <n v="0"/>
    <n v="2"/>
    <n v="0"/>
    <m/>
    <n v="71.599999999999994"/>
  </r>
  <r>
    <x v="763"/>
    <d v="2025-05-08T00:00:00"/>
    <x v="1"/>
    <x v="3"/>
    <x v="1"/>
    <x v="4"/>
    <s v="Basic"/>
    <n v="1"/>
    <n v="1"/>
    <n v="0"/>
    <n v="0"/>
    <n v="0"/>
    <n v="0"/>
    <n v="0"/>
    <m/>
    <n v="55.8"/>
  </r>
  <r>
    <x v="764"/>
    <d v="2025-03-25T00:00:00"/>
    <x v="1"/>
    <x v="3"/>
    <x v="0"/>
    <x v="1"/>
    <s v="Basic"/>
    <n v="0"/>
    <n v="0"/>
    <n v="0"/>
    <n v="0"/>
    <n v="0"/>
    <n v="1"/>
    <n v="0"/>
    <m/>
    <n v="60.1"/>
  </r>
  <r>
    <x v="765"/>
    <d v="2025-01-14T00:00:00"/>
    <x v="1"/>
    <x v="1"/>
    <x v="3"/>
    <x v="0"/>
    <s v="Basic"/>
    <n v="1"/>
    <n v="1"/>
    <n v="1"/>
    <n v="0"/>
    <n v="0"/>
    <n v="1"/>
    <n v="0"/>
    <m/>
    <n v="59.3"/>
  </r>
  <r>
    <x v="766"/>
    <d v="2025-03-26T00:00:00"/>
    <x v="1"/>
    <x v="0"/>
    <x v="1"/>
    <x v="1"/>
    <s v="Free"/>
    <n v="1"/>
    <n v="1"/>
    <n v="0"/>
    <n v="0"/>
    <n v="0"/>
    <n v="2"/>
    <n v="0"/>
    <m/>
    <n v="49.3"/>
  </r>
  <r>
    <x v="767"/>
    <d v="2025-01-16T00:00:00"/>
    <x v="1"/>
    <x v="2"/>
    <x v="1"/>
    <x v="3"/>
    <s v="Free"/>
    <n v="1"/>
    <n v="0"/>
    <n v="0"/>
    <n v="0"/>
    <n v="0"/>
    <n v="0"/>
    <n v="0"/>
    <m/>
    <n v="75"/>
  </r>
  <r>
    <x v="768"/>
    <d v="2025-01-04T00:00:00"/>
    <x v="1"/>
    <x v="2"/>
    <x v="1"/>
    <x v="4"/>
    <s v="Free"/>
    <n v="1"/>
    <n v="0"/>
    <n v="0"/>
    <n v="0"/>
    <n v="0"/>
    <n v="0"/>
    <n v="0"/>
    <m/>
    <n v="70.2"/>
  </r>
  <r>
    <x v="769"/>
    <d v="2025-02-09T00:00:00"/>
    <x v="1"/>
    <x v="3"/>
    <x v="0"/>
    <x v="1"/>
    <s v="Premium"/>
    <n v="1"/>
    <n v="1"/>
    <n v="1"/>
    <n v="0"/>
    <n v="0"/>
    <n v="0"/>
    <n v="0"/>
    <m/>
    <n v="56.6"/>
  </r>
  <r>
    <x v="770"/>
    <d v="2025-03-05T00:00:00"/>
    <x v="1"/>
    <x v="2"/>
    <x v="0"/>
    <x v="1"/>
    <s v="Free"/>
    <n v="1"/>
    <n v="0"/>
    <n v="0"/>
    <n v="0"/>
    <n v="0"/>
    <n v="0"/>
    <n v="0"/>
    <m/>
    <n v="65.400000000000006"/>
  </r>
  <r>
    <x v="771"/>
    <d v="2025-03-10T00:00:00"/>
    <x v="1"/>
    <x v="2"/>
    <x v="1"/>
    <x v="3"/>
    <s v="Basic"/>
    <n v="1"/>
    <n v="0"/>
    <n v="0"/>
    <n v="0"/>
    <n v="0"/>
    <n v="0"/>
    <n v="0"/>
    <m/>
    <n v="47.6"/>
  </r>
  <r>
    <x v="772"/>
    <d v="2025-02-27T00:00:00"/>
    <x v="1"/>
    <x v="2"/>
    <x v="0"/>
    <x v="2"/>
    <s v="Free"/>
    <n v="1"/>
    <n v="0"/>
    <n v="0"/>
    <n v="0"/>
    <n v="0"/>
    <n v="0"/>
    <n v="0"/>
    <m/>
    <n v="56.7"/>
  </r>
  <r>
    <x v="773"/>
    <d v="2025-03-10T00:00:00"/>
    <x v="1"/>
    <x v="0"/>
    <x v="0"/>
    <x v="3"/>
    <s v="Basic"/>
    <n v="1"/>
    <n v="1"/>
    <n v="0"/>
    <n v="0"/>
    <n v="0"/>
    <n v="0"/>
    <n v="0"/>
    <m/>
    <n v="71.400000000000006"/>
  </r>
  <r>
    <x v="774"/>
    <d v="2025-04-23T00:00:00"/>
    <x v="1"/>
    <x v="1"/>
    <x v="1"/>
    <x v="4"/>
    <s v="Free"/>
    <n v="0"/>
    <n v="0"/>
    <n v="0"/>
    <n v="0"/>
    <n v="0"/>
    <n v="2"/>
    <n v="0"/>
    <m/>
    <n v="60.5"/>
  </r>
  <r>
    <x v="775"/>
    <d v="2025-04-12T00:00:00"/>
    <x v="1"/>
    <x v="0"/>
    <x v="0"/>
    <x v="2"/>
    <s v="Free"/>
    <n v="1"/>
    <n v="0"/>
    <n v="0"/>
    <n v="0"/>
    <n v="0"/>
    <n v="0"/>
    <n v="0"/>
    <m/>
    <n v="46.7"/>
  </r>
  <r>
    <x v="776"/>
    <d v="2025-01-26T00:00:00"/>
    <x v="1"/>
    <x v="2"/>
    <x v="0"/>
    <x v="3"/>
    <s v="Free"/>
    <n v="0"/>
    <n v="0"/>
    <n v="0"/>
    <n v="0"/>
    <n v="0"/>
    <n v="0"/>
    <n v="0"/>
    <m/>
    <n v="61"/>
  </r>
  <r>
    <x v="777"/>
    <d v="2025-05-24T00:00:00"/>
    <x v="1"/>
    <x v="1"/>
    <x v="2"/>
    <x v="2"/>
    <s v="Free"/>
    <n v="0"/>
    <n v="0"/>
    <n v="0"/>
    <n v="0"/>
    <n v="0"/>
    <n v="0"/>
    <n v="0"/>
    <m/>
    <n v="60.9"/>
  </r>
  <r>
    <x v="778"/>
    <d v="2025-01-08T00:00:00"/>
    <x v="1"/>
    <x v="3"/>
    <x v="1"/>
    <x v="1"/>
    <s v="Free"/>
    <n v="1"/>
    <n v="0"/>
    <n v="0"/>
    <n v="0"/>
    <n v="0"/>
    <n v="0"/>
    <n v="0"/>
    <m/>
    <n v="67.099999999999994"/>
  </r>
  <r>
    <x v="779"/>
    <d v="2025-04-15T00:00:00"/>
    <x v="1"/>
    <x v="0"/>
    <x v="1"/>
    <x v="3"/>
    <s v="Free"/>
    <n v="1"/>
    <n v="1"/>
    <n v="0"/>
    <n v="0"/>
    <n v="0"/>
    <n v="0"/>
    <n v="0"/>
    <m/>
    <n v="59.6"/>
  </r>
  <r>
    <x v="780"/>
    <d v="2025-01-15T00:00:00"/>
    <x v="1"/>
    <x v="3"/>
    <x v="0"/>
    <x v="2"/>
    <s v="Free"/>
    <n v="1"/>
    <n v="0"/>
    <n v="0"/>
    <n v="0"/>
    <n v="0"/>
    <n v="0"/>
    <n v="0"/>
    <m/>
    <n v="83.8"/>
  </r>
  <r>
    <x v="781"/>
    <d v="2025-02-28T00:00:00"/>
    <x v="1"/>
    <x v="0"/>
    <x v="1"/>
    <x v="1"/>
    <s v="Basic"/>
    <n v="1"/>
    <n v="1"/>
    <n v="1"/>
    <n v="0"/>
    <n v="0"/>
    <n v="0"/>
    <n v="0"/>
    <m/>
    <n v="70.8"/>
  </r>
  <r>
    <x v="782"/>
    <d v="2025-01-01T00:00:00"/>
    <x v="1"/>
    <x v="0"/>
    <x v="2"/>
    <x v="1"/>
    <s v="Basic"/>
    <n v="0"/>
    <n v="0"/>
    <n v="0"/>
    <n v="0"/>
    <n v="0"/>
    <n v="0"/>
    <n v="0"/>
    <m/>
    <n v="65.900000000000006"/>
  </r>
  <r>
    <x v="783"/>
    <d v="2025-04-17T00:00:00"/>
    <x v="1"/>
    <x v="1"/>
    <x v="1"/>
    <x v="3"/>
    <s v="Free"/>
    <n v="1"/>
    <n v="0"/>
    <n v="0"/>
    <n v="0"/>
    <n v="0"/>
    <n v="0"/>
    <n v="0"/>
    <m/>
    <n v="58"/>
  </r>
  <r>
    <x v="784"/>
    <d v="2025-02-19T00:00:00"/>
    <x v="1"/>
    <x v="0"/>
    <x v="1"/>
    <x v="0"/>
    <s v="Basic"/>
    <n v="1"/>
    <n v="1"/>
    <n v="0"/>
    <n v="0"/>
    <n v="0"/>
    <n v="0"/>
    <n v="0"/>
    <m/>
    <n v="80.3"/>
  </r>
  <r>
    <x v="785"/>
    <d v="2025-03-14T00:00:00"/>
    <x v="1"/>
    <x v="0"/>
    <x v="0"/>
    <x v="1"/>
    <s v="Free"/>
    <n v="1"/>
    <n v="0"/>
    <n v="0"/>
    <n v="0"/>
    <n v="0"/>
    <n v="0"/>
    <n v="0"/>
    <m/>
    <n v="55.7"/>
  </r>
  <r>
    <x v="786"/>
    <d v="2025-04-21T00:00:00"/>
    <x v="1"/>
    <x v="0"/>
    <x v="1"/>
    <x v="1"/>
    <s v="Free"/>
    <n v="1"/>
    <n v="1"/>
    <n v="0"/>
    <n v="0"/>
    <n v="0"/>
    <n v="0"/>
    <n v="0"/>
    <m/>
    <n v="84.9"/>
  </r>
  <r>
    <x v="787"/>
    <d v="2025-02-14T00:00:00"/>
    <x v="1"/>
    <x v="0"/>
    <x v="1"/>
    <x v="1"/>
    <s v="Free"/>
    <n v="1"/>
    <n v="0"/>
    <n v="0"/>
    <n v="0"/>
    <n v="0"/>
    <n v="0"/>
    <n v="0"/>
    <m/>
    <n v="63.3"/>
  </r>
  <r>
    <x v="788"/>
    <d v="2025-05-30T00:00:00"/>
    <x v="1"/>
    <x v="1"/>
    <x v="1"/>
    <x v="1"/>
    <s v="Free"/>
    <n v="0"/>
    <n v="0"/>
    <n v="0"/>
    <n v="0"/>
    <n v="0"/>
    <n v="0"/>
    <n v="0"/>
    <m/>
    <n v="53.1"/>
  </r>
  <r>
    <x v="789"/>
    <d v="2025-01-20T00:00:00"/>
    <x v="1"/>
    <x v="1"/>
    <x v="1"/>
    <x v="1"/>
    <s v="Free"/>
    <n v="0"/>
    <n v="0"/>
    <n v="0"/>
    <n v="0"/>
    <n v="0"/>
    <n v="0"/>
    <n v="0"/>
    <m/>
    <n v="66"/>
  </r>
  <r>
    <x v="790"/>
    <d v="2025-03-17T00:00:00"/>
    <x v="1"/>
    <x v="1"/>
    <x v="1"/>
    <x v="4"/>
    <s v="Premium"/>
    <n v="0"/>
    <n v="0"/>
    <n v="0"/>
    <n v="0"/>
    <n v="0"/>
    <n v="0"/>
    <n v="0"/>
    <m/>
    <n v="54.7"/>
  </r>
  <r>
    <x v="791"/>
    <d v="2025-03-04T00:00:00"/>
    <x v="1"/>
    <x v="1"/>
    <x v="1"/>
    <x v="4"/>
    <s v="Free"/>
    <n v="1"/>
    <n v="1"/>
    <n v="0"/>
    <n v="0"/>
    <n v="0"/>
    <n v="1"/>
    <n v="0"/>
    <m/>
    <n v="41.2"/>
  </r>
  <r>
    <x v="792"/>
    <d v="2025-02-22T00:00:00"/>
    <x v="1"/>
    <x v="3"/>
    <x v="1"/>
    <x v="1"/>
    <s v="Premium"/>
    <n v="0"/>
    <n v="0"/>
    <n v="0"/>
    <n v="0"/>
    <n v="0"/>
    <n v="0"/>
    <n v="0"/>
    <m/>
    <n v="66.7"/>
  </r>
  <r>
    <x v="793"/>
    <d v="2025-05-02T00:00:00"/>
    <x v="1"/>
    <x v="0"/>
    <x v="1"/>
    <x v="2"/>
    <s v="Premium"/>
    <n v="0"/>
    <n v="0"/>
    <n v="0"/>
    <n v="0"/>
    <n v="0"/>
    <n v="0"/>
    <n v="0"/>
    <m/>
    <n v="39.4"/>
  </r>
  <r>
    <x v="794"/>
    <d v="2025-03-13T00:00:00"/>
    <x v="1"/>
    <x v="1"/>
    <x v="0"/>
    <x v="1"/>
    <s v="Premium"/>
    <n v="0"/>
    <n v="0"/>
    <n v="0"/>
    <n v="0"/>
    <n v="0"/>
    <n v="3"/>
    <n v="0"/>
    <m/>
    <n v="67"/>
  </r>
  <r>
    <x v="795"/>
    <d v="2025-05-31T00:00:00"/>
    <x v="1"/>
    <x v="3"/>
    <x v="1"/>
    <x v="1"/>
    <s v="Basic"/>
    <n v="1"/>
    <n v="0"/>
    <n v="0"/>
    <n v="0"/>
    <n v="0"/>
    <n v="0"/>
    <n v="0"/>
    <m/>
    <n v="50.4"/>
  </r>
  <r>
    <x v="796"/>
    <d v="2025-03-07T00:00:00"/>
    <x v="1"/>
    <x v="1"/>
    <x v="0"/>
    <x v="4"/>
    <s v="Free"/>
    <n v="1"/>
    <n v="0"/>
    <n v="0"/>
    <n v="0"/>
    <n v="0"/>
    <n v="0"/>
    <n v="0"/>
    <m/>
    <n v="53.8"/>
  </r>
  <r>
    <x v="797"/>
    <d v="2025-02-22T00:00:00"/>
    <x v="1"/>
    <x v="1"/>
    <x v="1"/>
    <x v="2"/>
    <s v="Basic"/>
    <n v="0"/>
    <n v="0"/>
    <n v="0"/>
    <n v="0"/>
    <n v="0"/>
    <n v="1"/>
    <n v="0"/>
    <m/>
    <n v="82.7"/>
  </r>
  <r>
    <x v="798"/>
    <d v="2025-01-05T00:00:00"/>
    <x v="1"/>
    <x v="1"/>
    <x v="0"/>
    <x v="2"/>
    <s v="Free"/>
    <n v="1"/>
    <n v="1"/>
    <n v="1"/>
    <n v="0"/>
    <n v="0"/>
    <n v="0"/>
    <n v="0"/>
    <m/>
    <n v="63.9"/>
  </r>
  <r>
    <x v="799"/>
    <d v="2025-01-21T00:00:00"/>
    <x v="1"/>
    <x v="1"/>
    <x v="1"/>
    <x v="3"/>
    <s v="Free"/>
    <n v="1"/>
    <n v="0"/>
    <n v="0"/>
    <n v="0"/>
    <n v="0"/>
    <n v="0"/>
    <n v="0"/>
    <m/>
    <n v="61.9"/>
  </r>
  <r>
    <x v="800"/>
    <d v="2025-01-25T00:00:00"/>
    <x v="1"/>
    <x v="0"/>
    <x v="0"/>
    <x v="4"/>
    <s v="Free"/>
    <n v="1"/>
    <n v="1"/>
    <n v="1"/>
    <n v="0"/>
    <n v="0"/>
    <n v="0"/>
    <n v="0"/>
    <m/>
    <n v="75"/>
  </r>
  <r>
    <x v="801"/>
    <d v="2025-04-04T00:00:00"/>
    <x v="1"/>
    <x v="1"/>
    <x v="1"/>
    <x v="2"/>
    <s v="Basic"/>
    <n v="1"/>
    <n v="1"/>
    <n v="1"/>
    <n v="0"/>
    <n v="0"/>
    <n v="0"/>
    <n v="0"/>
    <m/>
    <n v="43"/>
  </r>
  <r>
    <x v="802"/>
    <d v="2025-03-25T00:00:00"/>
    <x v="1"/>
    <x v="0"/>
    <x v="0"/>
    <x v="4"/>
    <s v="Premium"/>
    <n v="0"/>
    <n v="0"/>
    <n v="0"/>
    <n v="0"/>
    <n v="0"/>
    <n v="0"/>
    <n v="0"/>
    <m/>
    <n v="54.3"/>
  </r>
  <r>
    <x v="803"/>
    <d v="2025-03-19T00:00:00"/>
    <x v="1"/>
    <x v="1"/>
    <x v="1"/>
    <x v="4"/>
    <s v="Free"/>
    <n v="0"/>
    <n v="0"/>
    <n v="0"/>
    <n v="0"/>
    <n v="0"/>
    <n v="2"/>
    <n v="0"/>
    <m/>
    <n v="44.3"/>
  </r>
  <r>
    <x v="804"/>
    <d v="2025-04-24T00:00:00"/>
    <x v="1"/>
    <x v="1"/>
    <x v="0"/>
    <x v="1"/>
    <s v="Free"/>
    <n v="1"/>
    <n v="1"/>
    <n v="1"/>
    <n v="1"/>
    <n v="402.88"/>
    <n v="0"/>
    <n v="0"/>
    <n v="12"/>
    <n v="76"/>
  </r>
  <r>
    <x v="805"/>
    <d v="2025-04-04T00:00:00"/>
    <x v="1"/>
    <x v="3"/>
    <x v="2"/>
    <x v="1"/>
    <s v="Free"/>
    <n v="1"/>
    <n v="0"/>
    <n v="0"/>
    <n v="0"/>
    <n v="0"/>
    <n v="2"/>
    <n v="0"/>
    <m/>
    <n v="65.3"/>
  </r>
  <r>
    <x v="806"/>
    <d v="2025-03-28T00:00:00"/>
    <x v="1"/>
    <x v="3"/>
    <x v="0"/>
    <x v="2"/>
    <s v="Premium"/>
    <n v="1"/>
    <n v="0"/>
    <n v="0"/>
    <n v="0"/>
    <n v="0"/>
    <n v="0"/>
    <n v="0"/>
    <m/>
    <n v="71.2"/>
  </r>
  <r>
    <x v="807"/>
    <d v="2025-05-15T00:00:00"/>
    <x v="1"/>
    <x v="3"/>
    <x v="2"/>
    <x v="2"/>
    <s v="Free"/>
    <n v="1"/>
    <n v="0"/>
    <n v="0"/>
    <n v="0"/>
    <n v="0"/>
    <n v="0"/>
    <n v="0"/>
    <m/>
    <n v="77.900000000000006"/>
  </r>
  <r>
    <x v="808"/>
    <d v="2025-03-13T00:00:00"/>
    <x v="1"/>
    <x v="1"/>
    <x v="1"/>
    <x v="2"/>
    <s v="Free"/>
    <n v="0"/>
    <n v="0"/>
    <n v="0"/>
    <n v="0"/>
    <n v="0"/>
    <n v="0"/>
    <n v="0"/>
    <m/>
    <n v="48.6"/>
  </r>
  <r>
    <x v="809"/>
    <d v="2025-03-26T00:00:00"/>
    <x v="1"/>
    <x v="0"/>
    <x v="1"/>
    <x v="4"/>
    <s v="Premium"/>
    <n v="1"/>
    <n v="0"/>
    <n v="0"/>
    <n v="0"/>
    <n v="0"/>
    <n v="0"/>
    <n v="0"/>
    <m/>
    <n v="61.9"/>
  </r>
  <r>
    <x v="810"/>
    <d v="2025-01-09T00:00:00"/>
    <x v="1"/>
    <x v="0"/>
    <x v="1"/>
    <x v="4"/>
    <s v="Basic"/>
    <n v="0"/>
    <n v="0"/>
    <n v="0"/>
    <n v="0"/>
    <n v="0"/>
    <n v="1"/>
    <n v="0"/>
    <m/>
    <n v="58.7"/>
  </r>
  <r>
    <x v="811"/>
    <d v="2025-05-06T00:00:00"/>
    <x v="1"/>
    <x v="3"/>
    <x v="0"/>
    <x v="2"/>
    <s v="Free"/>
    <n v="1"/>
    <n v="0"/>
    <n v="0"/>
    <n v="0"/>
    <n v="0"/>
    <n v="0"/>
    <n v="0"/>
    <m/>
    <n v="69.599999999999994"/>
  </r>
  <r>
    <x v="812"/>
    <d v="2025-02-17T00:00:00"/>
    <x v="1"/>
    <x v="3"/>
    <x v="1"/>
    <x v="1"/>
    <s v="Free"/>
    <n v="1"/>
    <n v="0"/>
    <n v="0"/>
    <n v="0"/>
    <n v="0"/>
    <n v="0"/>
    <n v="0"/>
    <m/>
    <n v="51.5"/>
  </r>
  <r>
    <x v="813"/>
    <d v="2025-04-05T00:00:00"/>
    <x v="1"/>
    <x v="2"/>
    <x v="1"/>
    <x v="2"/>
    <s v="Free"/>
    <n v="1"/>
    <n v="1"/>
    <n v="1"/>
    <n v="1"/>
    <n v="277.69"/>
    <n v="3"/>
    <n v="0"/>
    <n v="8"/>
    <n v="46"/>
  </r>
  <r>
    <x v="814"/>
    <d v="2025-04-13T00:00:00"/>
    <x v="1"/>
    <x v="1"/>
    <x v="2"/>
    <x v="1"/>
    <s v="Free"/>
    <n v="1"/>
    <n v="0"/>
    <n v="0"/>
    <n v="0"/>
    <n v="0"/>
    <n v="0"/>
    <n v="0"/>
    <m/>
    <n v="81.7"/>
  </r>
  <r>
    <x v="815"/>
    <d v="2025-05-20T00:00:00"/>
    <x v="1"/>
    <x v="2"/>
    <x v="0"/>
    <x v="3"/>
    <s v="Free"/>
    <n v="1"/>
    <n v="0"/>
    <n v="0"/>
    <n v="0"/>
    <n v="0"/>
    <n v="0"/>
    <n v="0"/>
    <m/>
    <n v="48.3"/>
  </r>
  <r>
    <x v="816"/>
    <d v="2025-03-31T00:00:00"/>
    <x v="1"/>
    <x v="2"/>
    <x v="1"/>
    <x v="0"/>
    <s v="Free"/>
    <n v="1"/>
    <n v="1"/>
    <n v="0"/>
    <n v="0"/>
    <n v="0"/>
    <n v="0"/>
    <n v="0"/>
    <m/>
    <n v="85.6"/>
  </r>
  <r>
    <x v="817"/>
    <d v="2025-04-03T00:00:00"/>
    <x v="1"/>
    <x v="1"/>
    <x v="2"/>
    <x v="2"/>
    <s v="Basic"/>
    <n v="1"/>
    <n v="0"/>
    <n v="0"/>
    <n v="0"/>
    <n v="0"/>
    <n v="0"/>
    <n v="0"/>
    <m/>
    <n v="53.8"/>
  </r>
  <r>
    <x v="818"/>
    <d v="2025-02-04T00:00:00"/>
    <x v="1"/>
    <x v="3"/>
    <x v="1"/>
    <x v="1"/>
    <s v="Free"/>
    <n v="1"/>
    <n v="1"/>
    <n v="1"/>
    <n v="1"/>
    <n v="460.83"/>
    <n v="2"/>
    <n v="0"/>
    <n v="0"/>
    <n v="69.7"/>
  </r>
  <r>
    <x v="819"/>
    <d v="2025-05-19T00:00:00"/>
    <x v="1"/>
    <x v="2"/>
    <x v="1"/>
    <x v="1"/>
    <s v="Free"/>
    <n v="1"/>
    <n v="0"/>
    <n v="0"/>
    <n v="0"/>
    <n v="0"/>
    <n v="0"/>
    <n v="0"/>
    <m/>
    <n v="74.8"/>
  </r>
  <r>
    <x v="820"/>
    <d v="2025-03-08T00:00:00"/>
    <x v="1"/>
    <x v="2"/>
    <x v="0"/>
    <x v="2"/>
    <s v="Basic"/>
    <n v="0"/>
    <n v="0"/>
    <n v="0"/>
    <n v="0"/>
    <n v="0"/>
    <n v="0"/>
    <n v="0"/>
    <m/>
    <n v="87.9"/>
  </r>
  <r>
    <x v="821"/>
    <d v="2025-05-10T00:00:00"/>
    <x v="1"/>
    <x v="0"/>
    <x v="1"/>
    <x v="4"/>
    <s v="Basic"/>
    <n v="1"/>
    <n v="0"/>
    <n v="0"/>
    <n v="0"/>
    <n v="0"/>
    <n v="1"/>
    <n v="0"/>
    <m/>
    <n v="49.1"/>
  </r>
  <r>
    <x v="822"/>
    <d v="2025-01-02T00:00:00"/>
    <x v="1"/>
    <x v="2"/>
    <x v="0"/>
    <x v="4"/>
    <s v="Basic"/>
    <n v="1"/>
    <n v="0"/>
    <n v="0"/>
    <n v="0"/>
    <n v="0"/>
    <n v="2"/>
    <n v="0"/>
    <m/>
    <n v="73"/>
  </r>
  <r>
    <x v="823"/>
    <d v="2025-01-17T00:00:00"/>
    <x v="1"/>
    <x v="1"/>
    <x v="1"/>
    <x v="1"/>
    <s v="Basic"/>
    <n v="0"/>
    <n v="0"/>
    <n v="0"/>
    <n v="0"/>
    <n v="0"/>
    <n v="0"/>
    <n v="0"/>
    <m/>
    <n v="79.5"/>
  </r>
  <r>
    <x v="824"/>
    <d v="2025-05-21T00:00:00"/>
    <x v="1"/>
    <x v="1"/>
    <x v="1"/>
    <x v="3"/>
    <s v="Basic"/>
    <n v="1"/>
    <n v="1"/>
    <n v="1"/>
    <n v="1"/>
    <n v="782.23"/>
    <n v="1"/>
    <n v="0"/>
    <n v="6"/>
    <n v="93.2"/>
  </r>
  <r>
    <x v="825"/>
    <d v="2025-05-25T00:00:00"/>
    <x v="1"/>
    <x v="2"/>
    <x v="0"/>
    <x v="3"/>
    <s v="Free"/>
    <n v="1"/>
    <n v="0"/>
    <n v="0"/>
    <n v="0"/>
    <n v="0"/>
    <n v="3"/>
    <n v="0"/>
    <m/>
    <n v="77.5"/>
  </r>
  <r>
    <x v="826"/>
    <d v="2025-01-05T00:00:00"/>
    <x v="1"/>
    <x v="1"/>
    <x v="1"/>
    <x v="0"/>
    <s v="Basic"/>
    <n v="1"/>
    <n v="0"/>
    <n v="0"/>
    <n v="0"/>
    <n v="0"/>
    <n v="0"/>
    <n v="0"/>
    <m/>
    <n v="61"/>
  </r>
  <r>
    <x v="827"/>
    <d v="2025-02-24T00:00:00"/>
    <x v="1"/>
    <x v="3"/>
    <x v="0"/>
    <x v="1"/>
    <s v="Free"/>
    <n v="1"/>
    <n v="1"/>
    <n v="0"/>
    <n v="0"/>
    <n v="0"/>
    <n v="0"/>
    <n v="0"/>
    <m/>
    <n v="64.900000000000006"/>
  </r>
  <r>
    <x v="828"/>
    <d v="2025-01-21T00:00:00"/>
    <x v="1"/>
    <x v="2"/>
    <x v="1"/>
    <x v="2"/>
    <s v="Basic"/>
    <n v="1"/>
    <n v="0"/>
    <n v="0"/>
    <n v="0"/>
    <n v="0"/>
    <n v="0"/>
    <n v="0"/>
    <m/>
    <n v="87.5"/>
  </r>
  <r>
    <x v="829"/>
    <d v="2025-04-24T00:00:00"/>
    <x v="1"/>
    <x v="0"/>
    <x v="1"/>
    <x v="1"/>
    <s v="Basic"/>
    <n v="1"/>
    <n v="1"/>
    <n v="1"/>
    <n v="1"/>
    <n v="1171.99"/>
    <n v="0"/>
    <n v="0"/>
    <n v="5"/>
    <n v="80.599999999999994"/>
  </r>
  <r>
    <x v="830"/>
    <d v="2025-01-07T00:00:00"/>
    <x v="1"/>
    <x v="1"/>
    <x v="0"/>
    <x v="1"/>
    <s v="Free"/>
    <n v="1"/>
    <n v="0"/>
    <n v="0"/>
    <n v="0"/>
    <n v="0"/>
    <n v="0"/>
    <n v="0"/>
    <m/>
    <n v="66.900000000000006"/>
  </r>
  <r>
    <x v="831"/>
    <d v="2025-05-31T00:00:00"/>
    <x v="1"/>
    <x v="3"/>
    <x v="2"/>
    <x v="1"/>
    <s v="Basic"/>
    <n v="1"/>
    <n v="1"/>
    <n v="1"/>
    <n v="0"/>
    <n v="0"/>
    <n v="0"/>
    <n v="0"/>
    <m/>
    <n v="58.8"/>
  </r>
  <r>
    <x v="832"/>
    <d v="2025-04-02T00:00:00"/>
    <x v="1"/>
    <x v="0"/>
    <x v="0"/>
    <x v="1"/>
    <s v="Basic"/>
    <n v="1"/>
    <n v="1"/>
    <n v="1"/>
    <n v="1"/>
    <n v="1010.4"/>
    <n v="0"/>
    <n v="0"/>
    <n v="4"/>
    <n v="42.9"/>
  </r>
  <r>
    <x v="833"/>
    <d v="2025-04-21T00:00:00"/>
    <x v="1"/>
    <x v="2"/>
    <x v="1"/>
    <x v="1"/>
    <s v="Free"/>
    <n v="1"/>
    <n v="1"/>
    <n v="1"/>
    <n v="0"/>
    <n v="0"/>
    <n v="1"/>
    <n v="0"/>
    <m/>
    <n v="60.2"/>
  </r>
  <r>
    <x v="834"/>
    <d v="2025-05-05T00:00:00"/>
    <x v="1"/>
    <x v="2"/>
    <x v="1"/>
    <x v="2"/>
    <s v="Basic"/>
    <n v="1"/>
    <n v="0"/>
    <n v="0"/>
    <n v="0"/>
    <n v="0"/>
    <n v="0"/>
    <n v="0"/>
    <m/>
    <n v="42.7"/>
  </r>
  <r>
    <x v="835"/>
    <d v="2025-01-06T00:00:00"/>
    <x v="1"/>
    <x v="0"/>
    <x v="0"/>
    <x v="4"/>
    <s v="Free"/>
    <n v="1"/>
    <n v="1"/>
    <n v="1"/>
    <n v="1"/>
    <n v="431.27"/>
    <n v="0"/>
    <n v="0"/>
    <n v="7"/>
    <n v="60.8"/>
  </r>
  <r>
    <x v="836"/>
    <d v="2025-04-24T00:00:00"/>
    <x v="1"/>
    <x v="3"/>
    <x v="1"/>
    <x v="3"/>
    <s v="Free"/>
    <n v="1"/>
    <n v="1"/>
    <n v="1"/>
    <n v="1"/>
    <n v="428.8"/>
    <n v="0"/>
    <n v="0"/>
    <n v="9"/>
    <n v="79.3"/>
  </r>
  <r>
    <x v="837"/>
    <d v="2025-04-21T00:00:00"/>
    <x v="1"/>
    <x v="3"/>
    <x v="1"/>
    <x v="1"/>
    <s v="Basic"/>
    <n v="1"/>
    <n v="0"/>
    <n v="0"/>
    <n v="0"/>
    <n v="0"/>
    <n v="1"/>
    <n v="0"/>
    <m/>
    <n v="88.6"/>
  </r>
  <r>
    <x v="838"/>
    <d v="2025-02-09T00:00:00"/>
    <x v="1"/>
    <x v="1"/>
    <x v="1"/>
    <x v="1"/>
    <s v="Basic"/>
    <n v="1"/>
    <n v="1"/>
    <n v="1"/>
    <n v="0"/>
    <n v="0"/>
    <n v="0"/>
    <n v="0"/>
    <m/>
    <n v="63.1"/>
  </r>
  <r>
    <x v="839"/>
    <d v="2025-01-09T00:00:00"/>
    <x v="1"/>
    <x v="2"/>
    <x v="1"/>
    <x v="1"/>
    <s v="Premium"/>
    <n v="1"/>
    <n v="0"/>
    <n v="0"/>
    <n v="0"/>
    <n v="0"/>
    <n v="0"/>
    <n v="0"/>
    <m/>
    <n v="39.700000000000003"/>
  </r>
  <r>
    <x v="840"/>
    <d v="2025-02-16T00:00:00"/>
    <x v="1"/>
    <x v="0"/>
    <x v="1"/>
    <x v="2"/>
    <s v="Basic"/>
    <n v="0"/>
    <n v="0"/>
    <n v="0"/>
    <n v="0"/>
    <n v="0"/>
    <n v="0"/>
    <n v="0"/>
    <m/>
    <n v="67.2"/>
  </r>
  <r>
    <x v="841"/>
    <d v="2025-02-21T00:00:00"/>
    <x v="1"/>
    <x v="3"/>
    <x v="1"/>
    <x v="1"/>
    <s v="Free"/>
    <n v="1"/>
    <n v="1"/>
    <n v="1"/>
    <n v="0"/>
    <n v="0"/>
    <n v="0"/>
    <n v="0"/>
    <m/>
    <n v="62.3"/>
  </r>
  <r>
    <x v="842"/>
    <d v="2025-02-08T00:00:00"/>
    <x v="1"/>
    <x v="3"/>
    <x v="1"/>
    <x v="1"/>
    <s v="Premium"/>
    <n v="1"/>
    <n v="0"/>
    <n v="0"/>
    <n v="0"/>
    <n v="0"/>
    <n v="0"/>
    <n v="0"/>
    <m/>
    <m/>
  </r>
  <r>
    <x v="843"/>
    <d v="2025-01-22T00:00:00"/>
    <x v="1"/>
    <x v="3"/>
    <x v="1"/>
    <x v="2"/>
    <s v="Premium"/>
    <n v="0"/>
    <n v="0"/>
    <n v="0"/>
    <n v="0"/>
    <n v="0"/>
    <n v="0"/>
    <n v="0"/>
    <m/>
    <n v="60.7"/>
  </r>
  <r>
    <x v="844"/>
    <d v="2025-04-01T00:00:00"/>
    <x v="1"/>
    <x v="1"/>
    <x v="1"/>
    <x v="1"/>
    <s v="Basic"/>
    <n v="1"/>
    <n v="0"/>
    <n v="0"/>
    <n v="0"/>
    <n v="0"/>
    <n v="0"/>
    <n v="0"/>
    <m/>
    <n v="61.5"/>
  </r>
  <r>
    <x v="845"/>
    <d v="2025-01-21T00:00:00"/>
    <x v="1"/>
    <x v="0"/>
    <x v="1"/>
    <x v="2"/>
    <s v="Basic"/>
    <n v="1"/>
    <n v="0"/>
    <n v="0"/>
    <n v="0"/>
    <n v="0"/>
    <n v="0"/>
    <n v="0"/>
    <m/>
    <n v="75"/>
  </r>
  <r>
    <x v="846"/>
    <d v="2025-01-02T00:00:00"/>
    <x v="1"/>
    <x v="2"/>
    <x v="0"/>
    <x v="1"/>
    <s v="Free"/>
    <n v="1"/>
    <n v="1"/>
    <n v="0"/>
    <n v="0"/>
    <n v="0"/>
    <n v="0"/>
    <n v="0"/>
    <m/>
    <n v="51.9"/>
  </r>
  <r>
    <x v="847"/>
    <d v="2025-05-12T00:00:00"/>
    <x v="1"/>
    <x v="3"/>
    <x v="0"/>
    <x v="2"/>
    <s v="Free"/>
    <n v="0"/>
    <n v="0"/>
    <n v="0"/>
    <n v="0"/>
    <n v="0"/>
    <n v="0"/>
    <n v="0"/>
    <m/>
    <n v="34.5"/>
  </r>
  <r>
    <x v="848"/>
    <d v="2025-03-05T00:00:00"/>
    <x v="1"/>
    <x v="3"/>
    <x v="1"/>
    <x v="4"/>
    <s v="Basic"/>
    <n v="0"/>
    <n v="0"/>
    <n v="0"/>
    <n v="0"/>
    <n v="0"/>
    <n v="0"/>
    <n v="0"/>
    <m/>
    <n v="54.5"/>
  </r>
  <r>
    <x v="849"/>
    <d v="2025-01-24T00:00:00"/>
    <x v="1"/>
    <x v="2"/>
    <x v="1"/>
    <x v="1"/>
    <s v="Free"/>
    <n v="0"/>
    <n v="0"/>
    <n v="0"/>
    <n v="0"/>
    <n v="0"/>
    <n v="0"/>
    <n v="0"/>
    <m/>
    <n v="46"/>
  </r>
  <r>
    <x v="850"/>
    <d v="2025-01-31T00:00:00"/>
    <x v="1"/>
    <x v="2"/>
    <x v="0"/>
    <x v="0"/>
    <s v="Free"/>
    <n v="1"/>
    <n v="1"/>
    <n v="1"/>
    <n v="0"/>
    <n v="0"/>
    <n v="0"/>
    <n v="0"/>
    <m/>
    <n v="88.4"/>
  </r>
  <r>
    <x v="851"/>
    <d v="2025-01-24T00:00:00"/>
    <x v="1"/>
    <x v="0"/>
    <x v="2"/>
    <x v="1"/>
    <s v="Basic"/>
    <n v="1"/>
    <n v="0"/>
    <n v="0"/>
    <n v="0"/>
    <n v="0"/>
    <n v="0"/>
    <n v="0"/>
    <m/>
    <n v="69.5"/>
  </r>
  <r>
    <x v="852"/>
    <d v="2025-02-14T00:00:00"/>
    <x v="1"/>
    <x v="0"/>
    <x v="0"/>
    <x v="3"/>
    <s v="Basic"/>
    <n v="1"/>
    <n v="1"/>
    <n v="1"/>
    <n v="0"/>
    <n v="0"/>
    <n v="0"/>
    <n v="0"/>
    <m/>
    <n v="74.2"/>
  </r>
  <r>
    <x v="853"/>
    <d v="2025-05-27T00:00:00"/>
    <x v="1"/>
    <x v="0"/>
    <x v="1"/>
    <x v="1"/>
    <s v="Free"/>
    <n v="1"/>
    <n v="1"/>
    <n v="1"/>
    <n v="0"/>
    <n v="0"/>
    <n v="0"/>
    <n v="0"/>
    <m/>
    <n v="72.099999999999994"/>
  </r>
  <r>
    <x v="854"/>
    <d v="2025-02-28T00:00:00"/>
    <x v="1"/>
    <x v="0"/>
    <x v="1"/>
    <x v="2"/>
    <s v="Free"/>
    <n v="1"/>
    <n v="1"/>
    <n v="1"/>
    <n v="1"/>
    <n v="398.33"/>
    <n v="0"/>
    <n v="0"/>
    <n v="5"/>
    <n v="85.1"/>
  </r>
  <r>
    <x v="855"/>
    <d v="2025-05-27T00:00:00"/>
    <x v="1"/>
    <x v="0"/>
    <x v="1"/>
    <x v="1"/>
    <s v="Basic"/>
    <n v="1"/>
    <n v="1"/>
    <n v="1"/>
    <n v="0"/>
    <n v="0"/>
    <n v="0"/>
    <n v="0"/>
    <m/>
    <n v="49.5"/>
  </r>
  <r>
    <x v="856"/>
    <d v="2025-05-17T00:00:00"/>
    <x v="1"/>
    <x v="3"/>
    <x v="1"/>
    <x v="2"/>
    <s v="Premium"/>
    <n v="0"/>
    <n v="0"/>
    <n v="0"/>
    <n v="0"/>
    <n v="0"/>
    <n v="1"/>
    <n v="0"/>
    <m/>
    <n v="79"/>
  </r>
  <r>
    <x v="857"/>
    <d v="2025-01-10T00:00:00"/>
    <x v="1"/>
    <x v="1"/>
    <x v="0"/>
    <x v="4"/>
    <s v="Free"/>
    <n v="0"/>
    <n v="0"/>
    <n v="0"/>
    <n v="0"/>
    <n v="0"/>
    <n v="0"/>
    <n v="0"/>
    <m/>
    <n v="71.8"/>
  </r>
  <r>
    <x v="858"/>
    <d v="2025-04-22T00:00:00"/>
    <x v="1"/>
    <x v="0"/>
    <x v="1"/>
    <x v="0"/>
    <s v="Basic"/>
    <n v="1"/>
    <n v="1"/>
    <n v="1"/>
    <n v="1"/>
    <n v="1117.54"/>
    <n v="0"/>
    <n v="0"/>
    <n v="6"/>
    <n v="60.4"/>
  </r>
  <r>
    <x v="859"/>
    <d v="2025-03-02T00:00:00"/>
    <x v="1"/>
    <x v="3"/>
    <x v="0"/>
    <x v="1"/>
    <s v="Basic"/>
    <n v="1"/>
    <n v="0"/>
    <n v="0"/>
    <n v="0"/>
    <n v="0"/>
    <n v="2"/>
    <n v="0"/>
    <m/>
    <n v="38.299999999999997"/>
  </r>
  <r>
    <x v="860"/>
    <d v="2025-03-23T00:00:00"/>
    <x v="1"/>
    <x v="2"/>
    <x v="1"/>
    <x v="2"/>
    <s v="Free"/>
    <n v="1"/>
    <n v="1"/>
    <n v="1"/>
    <n v="0"/>
    <n v="0"/>
    <n v="0"/>
    <n v="0"/>
    <m/>
    <n v="79.599999999999994"/>
  </r>
  <r>
    <x v="861"/>
    <d v="2025-02-12T00:00:00"/>
    <x v="1"/>
    <x v="2"/>
    <x v="1"/>
    <x v="0"/>
    <s v="Free"/>
    <n v="1"/>
    <n v="1"/>
    <n v="1"/>
    <n v="0"/>
    <n v="0"/>
    <n v="0"/>
    <n v="0"/>
    <m/>
    <n v="71.900000000000006"/>
  </r>
  <r>
    <x v="862"/>
    <d v="2025-05-03T00:00:00"/>
    <x v="1"/>
    <x v="3"/>
    <x v="1"/>
    <x v="3"/>
    <s v="Basic"/>
    <n v="1"/>
    <n v="0"/>
    <n v="0"/>
    <n v="0"/>
    <n v="0"/>
    <n v="0"/>
    <n v="0"/>
    <m/>
    <n v="54.6"/>
  </r>
  <r>
    <x v="863"/>
    <d v="2025-03-28T00:00:00"/>
    <x v="1"/>
    <x v="0"/>
    <x v="0"/>
    <x v="4"/>
    <s v="Free"/>
    <n v="1"/>
    <n v="0"/>
    <n v="0"/>
    <n v="0"/>
    <n v="0"/>
    <n v="3"/>
    <n v="0"/>
    <m/>
    <n v="49.3"/>
  </r>
  <r>
    <x v="864"/>
    <d v="2025-03-12T00:00:00"/>
    <x v="1"/>
    <x v="0"/>
    <x v="1"/>
    <x v="4"/>
    <s v="Basic"/>
    <n v="0"/>
    <n v="0"/>
    <n v="0"/>
    <n v="0"/>
    <n v="0"/>
    <n v="1"/>
    <n v="0"/>
    <m/>
    <n v="66.900000000000006"/>
  </r>
  <r>
    <x v="865"/>
    <d v="2025-04-27T00:00:00"/>
    <x v="1"/>
    <x v="2"/>
    <x v="1"/>
    <x v="2"/>
    <s v="Free"/>
    <n v="1"/>
    <n v="0"/>
    <n v="0"/>
    <n v="0"/>
    <n v="0"/>
    <n v="1"/>
    <n v="0"/>
    <m/>
    <n v="77.8"/>
  </r>
  <r>
    <x v="866"/>
    <d v="2025-04-02T00:00:00"/>
    <x v="1"/>
    <x v="3"/>
    <x v="1"/>
    <x v="3"/>
    <s v="Basic"/>
    <n v="1"/>
    <n v="0"/>
    <n v="0"/>
    <n v="0"/>
    <n v="0"/>
    <n v="0"/>
    <n v="0"/>
    <m/>
    <n v="63"/>
  </r>
  <r>
    <x v="867"/>
    <d v="2025-04-21T00:00:00"/>
    <x v="1"/>
    <x v="0"/>
    <x v="1"/>
    <x v="4"/>
    <s v="Free"/>
    <n v="0"/>
    <n v="0"/>
    <n v="0"/>
    <n v="0"/>
    <n v="0"/>
    <n v="0"/>
    <n v="0"/>
    <m/>
    <n v="79.8"/>
  </r>
  <r>
    <x v="868"/>
    <d v="2025-01-26T00:00:00"/>
    <x v="1"/>
    <x v="1"/>
    <x v="0"/>
    <x v="1"/>
    <s v="Basic"/>
    <n v="0"/>
    <n v="0"/>
    <n v="0"/>
    <n v="0"/>
    <n v="0"/>
    <n v="0"/>
    <n v="0"/>
    <m/>
    <n v="69.900000000000006"/>
  </r>
  <r>
    <x v="869"/>
    <d v="2025-01-06T00:00:00"/>
    <x v="1"/>
    <x v="1"/>
    <x v="1"/>
    <x v="1"/>
    <s v="Free"/>
    <n v="0"/>
    <n v="0"/>
    <n v="0"/>
    <n v="0"/>
    <n v="0"/>
    <n v="1"/>
    <n v="0"/>
    <m/>
    <n v="66.400000000000006"/>
  </r>
  <r>
    <x v="870"/>
    <d v="2025-02-07T00:00:00"/>
    <x v="1"/>
    <x v="2"/>
    <x v="1"/>
    <x v="1"/>
    <s v="Free"/>
    <n v="1"/>
    <n v="0"/>
    <n v="0"/>
    <n v="0"/>
    <n v="0"/>
    <n v="0"/>
    <n v="0"/>
    <m/>
    <n v="27.6"/>
  </r>
  <r>
    <x v="871"/>
    <d v="2025-05-07T00:00:00"/>
    <x v="1"/>
    <x v="1"/>
    <x v="1"/>
    <x v="1"/>
    <s v="Premium"/>
    <n v="1"/>
    <n v="0"/>
    <n v="0"/>
    <n v="0"/>
    <n v="0"/>
    <n v="1"/>
    <n v="0"/>
    <m/>
    <n v="56.5"/>
  </r>
  <r>
    <x v="872"/>
    <d v="2025-04-22T00:00:00"/>
    <x v="1"/>
    <x v="1"/>
    <x v="3"/>
    <x v="4"/>
    <s v="Free"/>
    <n v="1"/>
    <n v="0"/>
    <n v="0"/>
    <n v="0"/>
    <n v="0"/>
    <n v="0"/>
    <n v="0"/>
    <m/>
    <n v="67.8"/>
  </r>
  <r>
    <x v="873"/>
    <d v="2025-05-04T00:00:00"/>
    <x v="1"/>
    <x v="1"/>
    <x v="0"/>
    <x v="4"/>
    <s v="Free"/>
    <n v="1"/>
    <n v="0"/>
    <n v="0"/>
    <n v="0"/>
    <n v="0"/>
    <n v="0"/>
    <n v="0"/>
    <m/>
    <n v="80"/>
  </r>
  <r>
    <x v="874"/>
    <d v="2025-05-16T00:00:00"/>
    <x v="1"/>
    <x v="3"/>
    <x v="1"/>
    <x v="4"/>
    <s v="Basic"/>
    <n v="1"/>
    <n v="1"/>
    <n v="1"/>
    <n v="0"/>
    <n v="0"/>
    <n v="1"/>
    <n v="0"/>
    <m/>
    <n v="80.900000000000006"/>
  </r>
  <r>
    <x v="875"/>
    <d v="2025-02-11T00:00:00"/>
    <x v="1"/>
    <x v="1"/>
    <x v="1"/>
    <x v="2"/>
    <s v="Free"/>
    <n v="0"/>
    <n v="0"/>
    <n v="0"/>
    <n v="0"/>
    <n v="0"/>
    <n v="0"/>
    <n v="0"/>
    <m/>
    <n v="34.5"/>
  </r>
  <r>
    <x v="876"/>
    <d v="2025-05-09T00:00:00"/>
    <x v="1"/>
    <x v="2"/>
    <x v="0"/>
    <x v="1"/>
    <s v="Premium"/>
    <n v="1"/>
    <n v="0"/>
    <n v="0"/>
    <n v="0"/>
    <n v="0"/>
    <n v="0"/>
    <n v="0"/>
    <m/>
    <n v="73.5"/>
  </r>
  <r>
    <x v="877"/>
    <d v="2025-02-09T00:00:00"/>
    <x v="1"/>
    <x v="3"/>
    <x v="0"/>
    <x v="2"/>
    <s v="Free"/>
    <n v="1"/>
    <n v="1"/>
    <n v="0"/>
    <n v="0"/>
    <n v="0"/>
    <n v="0"/>
    <n v="0"/>
    <m/>
    <n v="70"/>
  </r>
  <r>
    <x v="878"/>
    <d v="2025-05-22T00:00:00"/>
    <x v="1"/>
    <x v="1"/>
    <x v="1"/>
    <x v="4"/>
    <s v="Basic"/>
    <n v="0"/>
    <n v="0"/>
    <n v="0"/>
    <n v="0"/>
    <n v="0"/>
    <n v="0"/>
    <n v="0"/>
    <m/>
    <n v="86.9"/>
  </r>
  <r>
    <x v="879"/>
    <d v="2025-05-24T00:00:00"/>
    <x v="1"/>
    <x v="2"/>
    <x v="1"/>
    <x v="4"/>
    <s v="Basic"/>
    <n v="0"/>
    <n v="0"/>
    <n v="0"/>
    <n v="0"/>
    <n v="0"/>
    <n v="0"/>
    <n v="0"/>
    <m/>
    <n v="66.900000000000006"/>
  </r>
  <r>
    <x v="880"/>
    <d v="2025-04-27T00:00:00"/>
    <x v="1"/>
    <x v="3"/>
    <x v="0"/>
    <x v="4"/>
    <s v="Basic"/>
    <n v="1"/>
    <n v="1"/>
    <n v="1"/>
    <n v="0"/>
    <n v="0"/>
    <n v="0"/>
    <n v="0"/>
    <m/>
    <n v="58.3"/>
  </r>
  <r>
    <x v="881"/>
    <d v="2025-03-19T00:00:00"/>
    <x v="1"/>
    <x v="2"/>
    <x v="1"/>
    <x v="2"/>
    <s v="Free"/>
    <n v="1"/>
    <n v="0"/>
    <n v="0"/>
    <n v="0"/>
    <n v="0"/>
    <n v="0"/>
    <n v="0"/>
    <m/>
    <n v="45"/>
  </r>
  <r>
    <x v="882"/>
    <d v="2025-05-20T00:00:00"/>
    <x v="1"/>
    <x v="3"/>
    <x v="1"/>
    <x v="1"/>
    <s v="Premium"/>
    <n v="0"/>
    <n v="0"/>
    <n v="0"/>
    <n v="0"/>
    <n v="0"/>
    <n v="0"/>
    <n v="0"/>
    <m/>
    <n v="60.8"/>
  </r>
  <r>
    <x v="883"/>
    <d v="2025-05-10T00:00:00"/>
    <x v="1"/>
    <x v="0"/>
    <x v="1"/>
    <x v="0"/>
    <s v="Premium"/>
    <n v="1"/>
    <n v="0"/>
    <n v="0"/>
    <n v="0"/>
    <n v="0"/>
    <n v="4"/>
    <n v="0"/>
    <m/>
    <n v="53.7"/>
  </r>
  <r>
    <x v="884"/>
    <d v="2025-03-29T00:00:00"/>
    <x v="1"/>
    <x v="2"/>
    <x v="1"/>
    <x v="4"/>
    <s v="Free"/>
    <n v="1"/>
    <n v="1"/>
    <n v="1"/>
    <n v="0"/>
    <n v="0"/>
    <n v="0"/>
    <n v="0"/>
    <m/>
    <n v="48.8"/>
  </r>
  <r>
    <x v="885"/>
    <d v="2025-04-03T00:00:00"/>
    <x v="1"/>
    <x v="1"/>
    <x v="0"/>
    <x v="3"/>
    <s v="Basic"/>
    <n v="0"/>
    <n v="0"/>
    <n v="0"/>
    <n v="0"/>
    <n v="0"/>
    <n v="0"/>
    <n v="0"/>
    <m/>
    <n v="52.9"/>
  </r>
  <r>
    <x v="886"/>
    <d v="2025-05-30T00:00:00"/>
    <x v="1"/>
    <x v="3"/>
    <x v="1"/>
    <x v="0"/>
    <s v="Free"/>
    <n v="1"/>
    <n v="0"/>
    <n v="0"/>
    <n v="0"/>
    <n v="0"/>
    <n v="0"/>
    <n v="0"/>
    <m/>
    <n v="42.4"/>
  </r>
  <r>
    <x v="887"/>
    <d v="2025-04-06T00:00:00"/>
    <x v="1"/>
    <x v="2"/>
    <x v="0"/>
    <x v="0"/>
    <s v="Free"/>
    <n v="1"/>
    <n v="0"/>
    <n v="0"/>
    <n v="0"/>
    <n v="0"/>
    <n v="0"/>
    <n v="0"/>
    <m/>
    <n v="58.7"/>
  </r>
  <r>
    <x v="888"/>
    <d v="2025-03-14T00:00:00"/>
    <x v="1"/>
    <x v="0"/>
    <x v="1"/>
    <x v="3"/>
    <s v="Free"/>
    <n v="1"/>
    <n v="1"/>
    <n v="1"/>
    <n v="1"/>
    <n v="2064.5500000000002"/>
    <n v="0"/>
    <n v="0"/>
    <n v="1"/>
    <n v="67.8"/>
  </r>
  <r>
    <x v="889"/>
    <d v="2025-02-24T00:00:00"/>
    <x v="1"/>
    <x v="3"/>
    <x v="0"/>
    <x v="2"/>
    <s v="Basic"/>
    <n v="1"/>
    <n v="0"/>
    <n v="0"/>
    <n v="0"/>
    <n v="0"/>
    <n v="0"/>
    <n v="0"/>
    <m/>
    <n v="62.6"/>
  </r>
  <r>
    <x v="890"/>
    <d v="2025-03-04T00:00:00"/>
    <x v="1"/>
    <x v="1"/>
    <x v="1"/>
    <x v="0"/>
    <s v="Basic"/>
    <n v="1"/>
    <n v="0"/>
    <n v="0"/>
    <n v="0"/>
    <n v="0"/>
    <n v="0"/>
    <n v="0"/>
    <m/>
    <n v="82.4"/>
  </r>
  <r>
    <x v="891"/>
    <d v="2025-04-02T00:00:00"/>
    <x v="1"/>
    <x v="0"/>
    <x v="1"/>
    <x v="1"/>
    <s v="Free"/>
    <n v="1"/>
    <n v="1"/>
    <n v="1"/>
    <n v="0"/>
    <n v="0"/>
    <n v="0"/>
    <n v="0"/>
    <m/>
    <n v="50.4"/>
  </r>
  <r>
    <x v="892"/>
    <d v="2025-05-11T00:00:00"/>
    <x v="1"/>
    <x v="0"/>
    <x v="1"/>
    <x v="0"/>
    <s v="Premium"/>
    <n v="0"/>
    <n v="0"/>
    <n v="0"/>
    <n v="0"/>
    <n v="0"/>
    <n v="0"/>
    <n v="0"/>
    <m/>
    <n v="68.400000000000006"/>
  </r>
  <r>
    <x v="893"/>
    <d v="2025-05-10T00:00:00"/>
    <x v="1"/>
    <x v="1"/>
    <x v="2"/>
    <x v="2"/>
    <s v="Basic"/>
    <n v="1"/>
    <n v="1"/>
    <n v="1"/>
    <n v="0"/>
    <n v="0"/>
    <n v="0"/>
    <n v="0"/>
    <m/>
    <n v="58.8"/>
  </r>
  <r>
    <x v="894"/>
    <d v="2025-05-06T00:00:00"/>
    <x v="1"/>
    <x v="1"/>
    <x v="1"/>
    <x v="3"/>
    <s v="Free"/>
    <n v="1"/>
    <n v="1"/>
    <n v="0"/>
    <n v="0"/>
    <n v="0"/>
    <n v="2"/>
    <n v="0"/>
    <m/>
    <n v="28.3"/>
  </r>
  <r>
    <x v="895"/>
    <d v="2025-02-11T00:00:00"/>
    <x v="1"/>
    <x v="1"/>
    <x v="0"/>
    <x v="2"/>
    <s v="Free"/>
    <n v="1"/>
    <n v="1"/>
    <n v="0"/>
    <n v="0"/>
    <n v="0"/>
    <n v="0"/>
    <n v="0"/>
    <m/>
    <n v="44.1"/>
  </r>
  <r>
    <x v="896"/>
    <d v="2025-05-09T00:00:00"/>
    <x v="1"/>
    <x v="3"/>
    <x v="1"/>
    <x v="2"/>
    <s v="Premium"/>
    <n v="1"/>
    <n v="1"/>
    <n v="0"/>
    <n v="0"/>
    <n v="0"/>
    <n v="0"/>
    <n v="0"/>
    <m/>
    <n v="66.7"/>
  </r>
  <r>
    <x v="897"/>
    <d v="2025-02-02T00:00:00"/>
    <x v="1"/>
    <x v="3"/>
    <x v="1"/>
    <x v="5"/>
    <s v="Free"/>
    <n v="1"/>
    <n v="0"/>
    <n v="0"/>
    <n v="0"/>
    <n v="0"/>
    <n v="0"/>
    <n v="0"/>
    <m/>
    <n v="100"/>
  </r>
  <r>
    <x v="898"/>
    <d v="2025-04-03T00:00:00"/>
    <x v="1"/>
    <x v="3"/>
    <x v="1"/>
    <x v="4"/>
    <s v="Free"/>
    <n v="1"/>
    <n v="1"/>
    <n v="0"/>
    <n v="0"/>
    <n v="0"/>
    <n v="0"/>
    <n v="0"/>
    <m/>
    <n v="87.5"/>
  </r>
  <r>
    <x v="899"/>
    <d v="2025-02-15T00:00:00"/>
    <x v="1"/>
    <x v="0"/>
    <x v="0"/>
    <x v="1"/>
    <s v="Basic"/>
    <n v="1"/>
    <n v="0"/>
    <n v="0"/>
    <n v="0"/>
    <n v="0"/>
    <n v="2"/>
    <n v="0"/>
    <m/>
    <n v="65.400000000000006"/>
  </r>
  <r>
    <x v="900"/>
    <d v="2025-04-18T00:00:00"/>
    <x v="1"/>
    <x v="3"/>
    <x v="0"/>
    <x v="1"/>
    <s v="Free"/>
    <n v="1"/>
    <n v="0"/>
    <n v="0"/>
    <n v="0"/>
    <n v="0"/>
    <n v="0"/>
    <n v="0"/>
    <m/>
    <n v="22.9"/>
  </r>
  <r>
    <x v="901"/>
    <d v="2025-03-14T00:00:00"/>
    <x v="1"/>
    <x v="1"/>
    <x v="0"/>
    <x v="1"/>
    <s v="Premium"/>
    <n v="0"/>
    <n v="0"/>
    <n v="0"/>
    <n v="0"/>
    <n v="0"/>
    <n v="0"/>
    <n v="0"/>
    <m/>
    <n v="64.599999999999994"/>
  </r>
  <r>
    <x v="902"/>
    <d v="2025-03-29T00:00:00"/>
    <x v="1"/>
    <x v="3"/>
    <x v="1"/>
    <x v="3"/>
    <s v="Free"/>
    <n v="1"/>
    <n v="0"/>
    <n v="0"/>
    <n v="0"/>
    <n v="0"/>
    <n v="2"/>
    <n v="0"/>
    <m/>
    <n v="54.4"/>
  </r>
  <r>
    <x v="903"/>
    <d v="2025-02-13T00:00:00"/>
    <x v="1"/>
    <x v="0"/>
    <x v="0"/>
    <x v="1"/>
    <s v="Free"/>
    <n v="1"/>
    <n v="1"/>
    <n v="1"/>
    <n v="0"/>
    <n v="0"/>
    <n v="0"/>
    <n v="0"/>
    <m/>
    <n v="56.8"/>
  </r>
  <r>
    <x v="904"/>
    <d v="2025-01-23T00:00:00"/>
    <x v="1"/>
    <x v="3"/>
    <x v="1"/>
    <x v="2"/>
    <s v="Free"/>
    <n v="1"/>
    <n v="1"/>
    <n v="1"/>
    <n v="1"/>
    <n v="341.38"/>
    <n v="0"/>
    <n v="0"/>
    <n v="2"/>
    <n v="63.6"/>
  </r>
  <r>
    <x v="905"/>
    <d v="2025-02-24T00:00:00"/>
    <x v="1"/>
    <x v="2"/>
    <x v="1"/>
    <x v="4"/>
    <s v="Free"/>
    <n v="1"/>
    <n v="0"/>
    <n v="0"/>
    <n v="0"/>
    <n v="0"/>
    <n v="0"/>
    <n v="0"/>
    <m/>
    <n v="58.2"/>
  </r>
  <r>
    <x v="906"/>
    <d v="2025-02-28T00:00:00"/>
    <x v="1"/>
    <x v="1"/>
    <x v="1"/>
    <x v="2"/>
    <s v="Free"/>
    <n v="1"/>
    <n v="1"/>
    <n v="0"/>
    <n v="0"/>
    <n v="0"/>
    <n v="0"/>
    <n v="0"/>
    <m/>
    <n v="54.6"/>
  </r>
  <r>
    <x v="907"/>
    <d v="2025-01-07T00:00:00"/>
    <x v="1"/>
    <x v="1"/>
    <x v="2"/>
    <x v="1"/>
    <s v="Basic"/>
    <n v="1"/>
    <n v="0"/>
    <n v="0"/>
    <n v="0"/>
    <n v="0"/>
    <n v="0"/>
    <n v="0"/>
    <m/>
    <n v="81.900000000000006"/>
  </r>
  <r>
    <x v="908"/>
    <d v="2025-03-21T00:00:00"/>
    <x v="1"/>
    <x v="1"/>
    <x v="0"/>
    <x v="0"/>
    <s v="Free"/>
    <n v="1"/>
    <n v="0"/>
    <n v="0"/>
    <n v="0"/>
    <n v="0"/>
    <n v="3"/>
    <n v="0"/>
    <m/>
    <n v="53.3"/>
  </r>
  <r>
    <x v="909"/>
    <d v="2025-02-18T00:00:00"/>
    <x v="1"/>
    <x v="0"/>
    <x v="0"/>
    <x v="1"/>
    <s v="Basic"/>
    <n v="0"/>
    <n v="0"/>
    <n v="0"/>
    <n v="0"/>
    <n v="0"/>
    <n v="0"/>
    <n v="0"/>
    <m/>
    <n v="54.2"/>
  </r>
  <r>
    <x v="910"/>
    <d v="2025-01-05T00:00:00"/>
    <x v="1"/>
    <x v="0"/>
    <x v="1"/>
    <x v="2"/>
    <s v="Free"/>
    <n v="1"/>
    <n v="1"/>
    <n v="0"/>
    <n v="0"/>
    <n v="0"/>
    <n v="0"/>
    <n v="0"/>
    <m/>
    <n v="65.599999999999994"/>
  </r>
  <r>
    <x v="911"/>
    <d v="2025-03-11T00:00:00"/>
    <x v="1"/>
    <x v="2"/>
    <x v="0"/>
    <x v="1"/>
    <s v="Basic"/>
    <n v="1"/>
    <n v="0"/>
    <n v="0"/>
    <n v="0"/>
    <n v="0"/>
    <n v="1"/>
    <n v="0"/>
    <m/>
    <n v="56.5"/>
  </r>
  <r>
    <x v="912"/>
    <d v="2025-01-09T00:00:00"/>
    <x v="1"/>
    <x v="0"/>
    <x v="0"/>
    <x v="1"/>
    <s v="Basic"/>
    <n v="1"/>
    <n v="0"/>
    <n v="0"/>
    <n v="0"/>
    <n v="0"/>
    <n v="0"/>
    <n v="0"/>
    <m/>
    <n v="59.7"/>
  </r>
  <r>
    <x v="913"/>
    <d v="2025-01-08T00:00:00"/>
    <x v="1"/>
    <x v="3"/>
    <x v="1"/>
    <x v="1"/>
    <s v="Free"/>
    <n v="1"/>
    <n v="1"/>
    <n v="1"/>
    <n v="0"/>
    <n v="0"/>
    <n v="0"/>
    <n v="0"/>
    <m/>
    <n v="72.5"/>
  </r>
  <r>
    <x v="914"/>
    <d v="2025-05-01T00:00:00"/>
    <x v="1"/>
    <x v="2"/>
    <x v="0"/>
    <x v="2"/>
    <s v="Free"/>
    <n v="1"/>
    <n v="0"/>
    <n v="0"/>
    <n v="0"/>
    <n v="0"/>
    <n v="0"/>
    <n v="0"/>
    <m/>
    <n v="64.3"/>
  </r>
  <r>
    <x v="915"/>
    <d v="2025-03-03T00:00:00"/>
    <x v="1"/>
    <x v="3"/>
    <x v="1"/>
    <x v="4"/>
    <s v="Free"/>
    <n v="1"/>
    <n v="0"/>
    <n v="0"/>
    <n v="0"/>
    <n v="0"/>
    <n v="0"/>
    <n v="0"/>
    <m/>
    <n v="64.5"/>
  </r>
  <r>
    <x v="916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x v="917"/>
    <d v="2025-02-17T00:00:00"/>
    <x v="1"/>
    <x v="3"/>
    <x v="0"/>
    <x v="1"/>
    <s v="Basic"/>
    <n v="0"/>
    <n v="0"/>
    <n v="0"/>
    <n v="0"/>
    <n v="0"/>
    <n v="0"/>
    <n v="0"/>
    <m/>
    <n v="58.4"/>
  </r>
  <r>
    <x v="918"/>
    <d v="2025-05-21T00:00:00"/>
    <x v="1"/>
    <x v="2"/>
    <x v="1"/>
    <x v="1"/>
    <s v="Basic"/>
    <n v="1"/>
    <n v="0"/>
    <n v="0"/>
    <n v="0"/>
    <n v="0"/>
    <n v="0"/>
    <n v="0"/>
    <m/>
    <n v="56.6"/>
  </r>
  <r>
    <x v="919"/>
    <d v="2025-01-30T00:00:00"/>
    <x v="1"/>
    <x v="3"/>
    <x v="1"/>
    <x v="1"/>
    <s v="Free"/>
    <n v="1"/>
    <n v="0"/>
    <n v="0"/>
    <n v="0"/>
    <n v="0"/>
    <n v="0"/>
    <n v="0"/>
    <m/>
    <n v="61.8"/>
  </r>
  <r>
    <x v="920"/>
    <d v="2025-03-20T00:00:00"/>
    <x v="1"/>
    <x v="1"/>
    <x v="1"/>
    <x v="0"/>
    <s v="Free"/>
    <n v="1"/>
    <n v="1"/>
    <n v="1"/>
    <n v="1"/>
    <n v="513.52"/>
    <n v="0"/>
    <n v="0"/>
    <n v="8"/>
    <n v="43.4"/>
  </r>
  <r>
    <x v="921"/>
    <d v="2025-04-10T00:00:00"/>
    <x v="1"/>
    <x v="1"/>
    <x v="2"/>
    <x v="2"/>
    <s v="Free"/>
    <n v="0"/>
    <n v="0"/>
    <n v="0"/>
    <n v="0"/>
    <n v="0"/>
    <n v="0"/>
    <n v="0"/>
    <m/>
    <n v="43"/>
  </r>
  <r>
    <x v="922"/>
    <d v="2025-03-07T00:00:00"/>
    <x v="1"/>
    <x v="0"/>
    <x v="0"/>
    <x v="1"/>
    <s v="Free"/>
    <n v="1"/>
    <n v="1"/>
    <n v="1"/>
    <n v="0"/>
    <n v="0"/>
    <n v="0"/>
    <n v="0"/>
    <m/>
    <n v="51.1"/>
  </r>
  <r>
    <x v="923"/>
    <d v="2025-03-12T00:00:00"/>
    <x v="1"/>
    <x v="1"/>
    <x v="1"/>
    <x v="0"/>
    <s v="Basic"/>
    <n v="1"/>
    <n v="0"/>
    <n v="0"/>
    <n v="0"/>
    <n v="0"/>
    <n v="0"/>
    <n v="0"/>
    <m/>
    <n v="48.8"/>
  </r>
  <r>
    <x v="924"/>
    <d v="2025-02-24T00:00:00"/>
    <x v="1"/>
    <x v="2"/>
    <x v="1"/>
    <x v="3"/>
    <s v="Free"/>
    <n v="0"/>
    <n v="0"/>
    <n v="0"/>
    <n v="0"/>
    <n v="0"/>
    <n v="0"/>
    <n v="0"/>
    <m/>
    <n v="73.2"/>
  </r>
  <r>
    <x v="925"/>
    <d v="2025-01-15T00:00:00"/>
    <x v="1"/>
    <x v="2"/>
    <x v="1"/>
    <x v="3"/>
    <s v="Free"/>
    <n v="1"/>
    <n v="1"/>
    <n v="1"/>
    <n v="0"/>
    <n v="0"/>
    <n v="0"/>
    <n v="0"/>
    <m/>
    <n v="80"/>
  </r>
  <r>
    <x v="926"/>
    <d v="2025-01-07T00:00:00"/>
    <x v="1"/>
    <x v="0"/>
    <x v="0"/>
    <x v="2"/>
    <s v="Free"/>
    <n v="1"/>
    <n v="0"/>
    <n v="0"/>
    <n v="0"/>
    <n v="0"/>
    <n v="0"/>
    <n v="0"/>
    <m/>
    <n v="52.3"/>
  </r>
  <r>
    <x v="927"/>
    <d v="2025-03-02T00:00:00"/>
    <x v="1"/>
    <x v="0"/>
    <x v="0"/>
    <x v="1"/>
    <s v="Free"/>
    <n v="0"/>
    <n v="0"/>
    <n v="0"/>
    <n v="0"/>
    <n v="0"/>
    <n v="0"/>
    <n v="0"/>
    <m/>
    <n v="49.1"/>
  </r>
  <r>
    <x v="928"/>
    <d v="2025-01-05T00:00:00"/>
    <x v="1"/>
    <x v="3"/>
    <x v="0"/>
    <x v="3"/>
    <s v="Basic"/>
    <n v="0"/>
    <n v="0"/>
    <n v="0"/>
    <n v="0"/>
    <n v="0"/>
    <n v="0"/>
    <n v="0"/>
    <m/>
    <n v="45.3"/>
  </r>
  <r>
    <x v="929"/>
    <d v="2025-03-03T00:00:00"/>
    <x v="1"/>
    <x v="3"/>
    <x v="1"/>
    <x v="1"/>
    <s v="Free"/>
    <n v="1"/>
    <n v="1"/>
    <n v="0"/>
    <n v="0"/>
    <n v="0"/>
    <n v="0"/>
    <n v="0"/>
    <m/>
    <n v="49.1"/>
  </r>
  <r>
    <x v="930"/>
    <d v="2025-03-31T00:00:00"/>
    <x v="1"/>
    <x v="2"/>
    <x v="0"/>
    <x v="3"/>
    <s v="Free"/>
    <n v="1"/>
    <n v="1"/>
    <n v="1"/>
    <n v="1"/>
    <n v="476.44"/>
    <n v="0"/>
    <n v="0"/>
    <n v="3"/>
    <n v="88.6"/>
  </r>
  <r>
    <x v="931"/>
    <d v="2025-01-14T00:00:00"/>
    <x v="1"/>
    <x v="2"/>
    <x v="0"/>
    <x v="2"/>
    <s v="Premium"/>
    <n v="0"/>
    <n v="0"/>
    <n v="0"/>
    <n v="0"/>
    <n v="0"/>
    <n v="1"/>
    <n v="0"/>
    <m/>
    <n v="54.4"/>
  </r>
  <r>
    <x v="932"/>
    <d v="2025-01-15T00:00:00"/>
    <x v="1"/>
    <x v="1"/>
    <x v="0"/>
    <x v="2"/>
    <s v="Premium"/>
    <n v="1"/>
    <n v="0"/>
    <n v="0"/>
    <n v="0"/>
    <n v="0"/>
    <n v="0"/>
    <n v="0"/>
    <m/>
    <n v="72.900000000000006"/>
  </r>
  <r>
    <x v="933"/>
    <d v="2025-04-25T00:00:00"/>
    <x v="1"/>
    <x v="1"/>
    <x v="0"/>
    <x v="1"/>
    <s v="Free"/>
    <n v="1"/>
    <n v="0"/>
    <n v="0"/>
    <n v="0"/>
    <n v="0"/>
    <n v="0"/>
    <n v="0"/>
    <m/>
    <n v="53.2"/>
  </r>
  <r>
    <x v="934"/>
    <d v="2025-03-21T00:00:00"/>
    <x v="1"/>
    <x v="2"/>
    <x v="1"/>
    <x v="1"/>
    <s v="Basic"/>
    <n v="1"/>
    <n v="1"/>
    <n v="0"/>
    <n v="0"/>
    <n v="0"/>
    <n v="0"/>
    <n v="0"/>
    <m/>
    <n v="48.7"/>
  </r>
  <r>
    <x v="935"/>
    <d v="2025-04-26T00:00:00"/>
    <x v="1"/>
    <x v="3"/>
    <x v="1"/>
    <x v="2"/>
    <s v="Basic"/>
    <n v="1"/>
    <n v="1"/>
    <n v="1"/>
    <n v="0"/>
    <n v="0"/>
    <n v="0"/>
    <n v="0"/>
    <m/>
    <n v="59.9"/>
  </r>
  <r>
    <x v="936"/>
    <d v="2025-05-21T00:00:00"/>
    <x v="1"/>
    <x v="3"/>
    <x v="0"/>
    <x v="5"/>
    <s v="Basic"/>
    <n v="0"/>
    <n v="0"/>
    <n v="0"/>
    <n v="0"/>
    <n v="0"/>
    <n v="0"/>
    <n v="0"/>
    <m/>
    <n v="82"/>
  </r>
  <r>
    <x v="937"/>
    <d v="2025-04-18T00:00:00"/>
    <x v="1"/>
    <x v="2"/>
    <x v="1"/>
    <x v="2"/>
    <s v="Free"/>
    <n v="0"/>
    <n v="0"/>
    <n v="0"/>
    <n v="0"/>
    <n v="0"/>
    <n v="0"/>
    <n v="0"/>
    <m/>
    <n v="72.099999999999994"/>
  </r>
  <r>
    <x v="938"/>
    <d v="2025-01-29T00:00:00"/>
    <x v="1"/>
    <x v="0"/>
    <x v="0"/>
    <x v="0"/>
    <s v="Premium"/>
    <n v="1"/>
    <n v="1"/>
    <n v="0"/>
    <n v="0"/>
    <n v="0"/>
    <n v="0"/>
    <n v="0"/>
    <m/>
    <n v="68.3"/>
  </r>
  <r>
    <x v="939"/>
    <d v="2025-05-28T00:00:00"/>
    <x v="1"/>
    <x v="1"/>
    <x v="1"/>
    <x v="1"/>
    <s v="Premium"/>
    <n v="0"/>
    <n v="0"/>
    <n v="0"/>
    <n v="0"/>
    <n v="0"/>
    <n v="0"/>
    <n v="0"/>
    <m/>
    <n v="100"/>
  </r>
  <r>
    <x v="940"/>
    <d v="2025-01-15T00:00:00"/>
    <x v="1"/>
    <x v="2"/>
    <x v="1"/>
    <x v="0"/>
    <s v="Free"/>
    <n v="1"/>
    <n v="1"/>
    <n v="1"/>
    <n v="0"/>
    <n v="0"/>
    <n v="2"/>
    <n v="0"/>
    <m/>
    <n v="76.5"/>
  </r>
  <r>
    <x v="941"/>
    <d v="2025-01-03T00:00:00"/>
    <x v="1"/>
    <x v="3"/>
    <x v="1"/>
    <x v="1"/>
    <s v="Basic"/>
    <n v="1"/>
    <n v="1"/>
    <n v="0"/>
    <n v="0"/>
    <n v="0"/>
    <n v="0"/>
    <n v="0"/>
    <m/>
    <n v="62"/>
  </r>
  <r>
    <x v="942"/>
    <d v="2025-02-04T00:00:00"/>
    <x v="1"/>
    <x v="3"/>
    <x v="1"/>
    <x v="2"/>
    <s v="Free"/>
    <n v="1"/>
    <n v="1"/>
    <n v="1"/>
    <n v="1"/>
    <n v="324.68"/>
    <n v="1"/>
    <n v="0"/>
    <n v="7"/>
    <n v="50.1"/>
  </r>
  <r>
    <x v="943"/>
    <d v="2025-02-22T00:00:00"/>
    <x v="1"/>
    <x v="3"/>
    <x v="1"/>
    <x v="3"/>
    <s v="Premium"/>
    <n v="1"/>
    <n v="0"/>
    <n v="0"/>
    <n v="0"/>
    <n v="0"/>
    <n v="0"/>
    <n v="0"/>
    <m/>
    <n v="62.1"/>
  </r>
  <r>
    <x v="944"/>
    <d v="2025-05-06T00:00:00"/>
    <x v="1"/>
    <x v="1"/>
    <x v="1"/>
    <x v="1"/>
    <s v="Basic"/>
    <n v="1"/>
    <n v="0"/>
    <n v="0"/>
    <n v="0"/>
    <n v="0"/>
    <n v="0"/>
    <n v="0"/>
    <m/>
    <n v="49.7"/>
  </r>
  <r>
    <x v="945"/>
    <d v="2025-01-31T00:00:00"/>
    <x v="1"/>
    <x v="3"/>
    <x v="1"/>
    <x v="1"/>
    <s v="Free"/>
    <n v="1"/>
    <n v="0"/>
    <n v="0"/>
    <n v="0"/>
    <n v="0"/>
    <n v="3"/>
    <n v="0"/>
    <m/>
    <n v="71.099999999999994"/>
  </r>
  <r>
    <x v="946"/>
    <d v="2025-02-18T00:00:00"/>
    <x v="1"/>
    <x v="0"/>
    <x v="1"/>
    <x v="4"/>
    <s v="Basic"/>
    <n v="0"/>
    <n v="0"/>
    <n v="0"/>
    <n v="0"/>
    <n v="0"/>
    <n v="0"/>
    <n v="0"/>
    <m/>
    <n v="70.8"/>
  </r>
  <r>
    <x v="947"/>
    <d v="2025-04-23T00:00:00"/>
    <x v="1"/>
    <x v="2"/>
    <x v="1"/>
    <x v="2"/>
    <s v="Free"/>
    <n v="1"/>
    <n v="1"/>
    <n v="1"/>
    <n v="1"/>
    <n v="301.98"/>
    <n v="0"/>
    <n v="0"/>
    <n v="10"/>
    <n v="52.2"/>
  </r>
  <r>
    <x v="948"/>
    <d v="2025-02-06T00:00:00"/>
    <x v="1"/>
    <x v="0"/>
    <x v="1"/>
    <x v="1"/>
    <s v="Free"/>
    <n v="1"/>
    <n v="1"/>
    <n v="1"/>
    <n v="0"/>
    <n v="0"/>
    <n v="0"/>
    <n v="0"/>
    <m/>
    <n v="73"/>
  </r>
  <r>
    <x v="949"/>
    <d v="2025-04-26T00:00:00"/>
    <x v="1"/>
    <x v="3"/>
    <x v="0"/>
    <x v="2"/>
    <s v="Free"/>
    <n v="0"/>
    <n v="0"/>
    <n v="0"/>
    <n v="0"/>
    <n v="0"/>
    <n v="0"/>
    <n v="0"/>
    <m/>
    <n v="78.2"/>
  </r>
  <r>
    <x v="950"/>
    <d v="2025-03-30T00:00:00"/>
    <x v="1"/>
    <x v="1"/>
    <x v="0"/>
    <x v="2"/>
    <s v="Basic"/>
    <n v="1"/>
    <n v="0"/>
    <n v="0"/>
    <n v="0"/>
    <n v="0"/>
    <n v="0"/>
    <n v="0"/>
    <m/>
    <n v="68.8"/>
  </r>
  <r>
    <x v="951"/>
    <d v="2025-04-13T00:00:00"/>
    <x v="1"/>
    <x v="1"/>
    <x v="1"/>
    <x v="5"/>
    <s v="Premium"/>
    <n v="1"/>
    <n v="0"/>
    <n v="0"/>
    <n v="0"/>
    <n v="0"/>
    <n v="0"/>
    <n v="0"/>
    <m/>
    <n v="57.1"/>
  </r>
  <r>
    <x v="952"/>
    <d v="2025-04-04T00:00:00"/>
    <x v="1"/>
    <x v="2"/>
    <x v="0"/>
    <x v="1"/>
    <s v="Premium"/>
    <n v="0"/>
    <n v="0"/>
    <n v="0"/>
    <n v="0"/>
    <n v="0"/>
    <n v="1"/>
    <n v="0"/>
    <m/>
    <n v="74.599999999999994"/>
  </r>
  <r>
    <x v="953"/>
    <d v="2025-04-03T00:00:00"/>
    <x v="1"/>
    <x v="0"/>
    <x v="0"/>
    <x v="3"/>
    <s v="Free"/>
    <n v="1"/>
    <n v="0"/>
    <n v="0"/>
    <n v="0"/>
    <n v="0"/>
    <n v="1"/>
    <n v="0"/>
    <m/>
    <n v="64.099999999999994"/>
  </r>
  <r>
    <x v="954"/>
    <d v="2025-03-14T00:00:00"/>
    <x v="1"/>
    <x v="1"/>
    <x v="1"/>
    <x v="2"/>
    <s v="Premium"/>
    <n v="1"/>
    <n v="0"/>
    <n v="0"/>
    <n v="0"/>
    <n v="0"/>
    <n v="0"/>
    <n v="0"/>
    <m/>
    <n v="67.3"/>
  </r>
  <r>
    <x v="955"/>
    <d v="2025-01-14T00:00:00"/>
    <x v="1"/>
    <x v="1"/>
    <x v="1"/>
    <x v="3"/>
    <s v="Free"/>
    <n v="0"/>
    <n v="0"/>
    <n v="0"/>
    <n v="0"/>
    <n v="0"/>
    <n v="2"/>
    <n v="0"/>
    <m/>
    <n v="41"/>
  </r>
  <r>
    <x v="956"/>
    <d v="2025-05-05T00:00:00"/>
    <x v="1"/>
    <x v="1"/>
    <x v="1"/>
    <x v="2"/>
    <s v="Free"/>
    <n v="0"/>
    <n v="0"/>
    <n v="0"/>
    <n v="0"/>
    <n v="0"/>
    <n v="0"/>
    <n v="0"/>
    <m/>
    <n v="48.1"/>
  </r>
  <r>
    <x v="957"/>
    <d v="2025-05-02T00:00:00"/>
    <x v="1"/>
    <x v="1"/>
    <x v="0"/>
    <x v="4"/>
    <s v="Free"/>
    <n v="0"/>
    <n v="0"/>
    <n v="0"/>
    <n v="0"/>
    <n v="0"/>
    <n v="1"/>
    <n v="0"/>
    <m/>
    <n v="60.8"/>
  </r>
  <r>
    <x v="958"/>
    <d v="2025-05-21T00:00:00"/>
    <x v="1"/>
    <x v="2"/>
    <x v="1"/>
    <x v="1"/>
    <s v="Free"/>
    <n v="1"/>
    <n v="0"/>
    <n v="0"/>
    <n v="0"/>
    <n v="0"/>
    <n v="0"/>
    <n v="0"/>
    <m/>
    <n v="63.1"/>
  </r>
  <r>
    <x v="959"/>
    <d v="2025-05-16T00:00:00"/>
    <x v="1"/>
    <x v="0"/>
    <x v="1"/>
    <x v="3"/>
    <s v="Premium"/>
    <n v="1"/>
    <n v="0"/>
    <n v="0"/>
    <n v="0"/>
    <n v="0"/>
    <n v="2"/>
    <n v="0"/>
    <m/>
    <n v="49.7"/>
  </r>
  <r>
    <x v="960"/>
    <d v="2025-05-24T00:00:00"/>
    <x v="1"/>
    <x v="2"/>
    <x v="0"/>
    <x v="1"/>
    <s v="Premium"/>
    <n v="1"/>
    <n v="1"/>
    <n v="1"/>
    <n v="0"/>
    <n v="0"/>
    <n v="1"/>
    <n v="0"/>
    <m/>
    <n v="83.4"/>
  </r>
  <r>
    <x v="961"/>
    <d v="2025-03-18T00:00:00"/>
    <x v="1"/>
    <x v="2"/>
    <x v="1"/>
    <x v="1"/>
    <s v="Basic"/>
    <n v="1"/>
    <n v="0"/>
    <n v="0"/>
    <n v="0"/>
    <n v="0"/>
    <n v="0"/>
    <n v="0"/>
    <m/>
    <n v="75.900000000000006"/>
  </r>
  <r>
    <x v="962"/>
    <d v="2025-01-11T00:00:00"/>
    <x v="1"/>
    <x v="2"/>
    <x v="0"/>
    <x v="2"/>
    <s v="Free"/>
    <n v="0"/>
    <n v="0"/>
    <n v="0"/>
    <n v="0"/>
    <n v="0"/>
    <n v="1"/>
    <n v="0"/>
    <m/>
    <n v="71.8"/>
  </r>
  <r>
    <x v="963"/>
    <d v="2025-02-09T00:00:00"/>
    <x v="1"/>
    <x v="3"/>
    <x v="1"/>
    <x v="1"/>
    <s v="Basic"/>
    <n v="0"/>
    <n v="0"/>
    <n v="0"/>
    <n v="0"/>
    <n v="0"/>
    <n v="0"/>
    <n v="0"/>
    <m/>
    <n v="37.9"/>
  </r>
  <r>
    <x v="964"/>
    <d v="2025-03-01T00:00:00"/>
    <x v="1"/>
    <x v="0"/>
    <x v="0"/>
    <x v="4"/>
    <s v="Free"/>
    <n v="1"/>
    <n v="0"/>
    <n v="0"/>
    <n v="0"/>
    <n v="0"/>
    <n v="0"/>
    <n v="0"/>
    <m/>
    <n v="59.8"/>
  </r>
  <r>
    <x v="965"/>
    <d v="2025-05-07T00:00:00"/>
    <x v="1"/>
    <x v="0"/>
    <x v="1"/>
    <x v="1"/>
    <s v="Basic"/>
    <n v="0"/>
    <n v="0"/>
    <n v="0"/>
    <n v="0"/>
    <n v="0"/>
    <n v="0"/>
    <n v="0"/>
    <m/>
    <n v="66.900000000000006"/>
  </r>
  <r>
    <x v="966"/>
    <d v="2025-02-19T00:00:00"/>
    <x v="1"/>
    <x v="3"/>
    <x v="0"/>
    <x v="5"/>
    <s v="Free"/>
    <n v="1"/>
    <n v="0"/>
    <n v="0"/>
    <n v="0"/>
    <n v="0"/>
    <n v="0"/>
    <n v="0"/>
    <m/>
    <n v="59"/>
  </r>
  <r>
    <x v="967"/>
    <d v="2025-02-26T00:00:00"/>
    <x v="1"/>
    <x v="1"/>
    <x v="1"/>
    <x v="1"/>
    <s v="Premium"/>
    <n v="1"/>
    <n v="0"/>
    <n v="0"/>
    <n v="0"/>
    <n v="0"/>
    <n v="0"/>
    <n v="0"/>
    <m/>
    <n v="80.099999999999994"/>
  </r>
  <r>
    <x v="968"/>
    <d v="2025-03-23T00:00:00"/>
    <x v="1"/>
    <x v="3"/>
    <x v="1"/>
    <x v="4"/>
    <s v="Free"/>
    <n v="0"/>
    <n v="0"/>
    <n v="0"/>
    <n v="0"/>
    <n v="0"/>
    <n v="0"/>
    <n v="0"/>
    <m/>
    <n v="64.3"/>
  </r>
  <r>
    <x v="969"/>
    <d v="2025-04-25T00:00:00"/>
    <x v="1"/>
    <x v="3"/>
    <x v="0"/>
    <x v="4"/>
    <s v="Free"/>
    <n v="0"/>
    <n v="0"/>
    <n v="0"/>
    <n v="0"/>
    <n v="0"/>
    <n v="1"/>
    <n v="0"/>
    <m/>
    <n v="57.4"/>
  </r>
  <r>
    <x v="970"/>
    <d v="2025-05-10T00:00:00"/>
    <x v="1"/>
    <x v="0"/>
    <x v="0"/>
    <x v="4"/>
    <s v="Free"/>
    <n v="1"/>
    <n v="1"/>
    <n v="1"/>
    <n v="0"/>
    <n v="0"/>
    <n v="0"/>
    <n v="0"/>
    <m/>
    <n v="83.6"/>
  </r>
  <r>
    <x v="971"/>
    <d v="2025-04-22T00:00:00"/>
    <x v="1"/>
    <x v="2"/>
    <x v="1"/>
    <x v="2"/>
    <s v="Premium"/>
    <n v="0"/>
    <n v="0"/>
    <n v="0"/>
    <n v="0"/>
    <n v="0"/>
    <n v="0"/>
    <n v="0"/>
    <m/>
    <n v="45.8"/>
  </r>
  <r>
    <x v="972"/>
    <d v="2025-02-18T00:00:00"/>
    <x v="1"/>
    <x v="1"/>
    <x v="1"/>
    <x v="3"/>
    <s v="Basic"/>
    <n v="1"/>
    <n v="1"/>
    <n v="1"/>
    <n v="0"/>
    <n v="0"/>
    <n v="0"/>
    <n v="0"/>
    <m/>
    <n v="64.3"/>
  </r>
  <r>
    <x v="973"/>
    <d v="2025-01-26T00:00:00"/>
    <x v="1"/>
    <x v="3"/>
    <x v="1"/>
    <x v="2"/>
    <s v="Premium"/>
    <n v="1"/>
    <n v="1"/>
    <n v="1"/>
    <n v="0"/>
    <n v="0"/>
    <n v="0"/>
    <n v="0"/>
    <m/>
    <n v="80.5"/>
  </r>
  <r>
    <x v="974"/>
    <d v="2025-04-28T00:00:00"/>
    <x v="1"/>
    <x v="0"/>
    <x v="1"/>
    <x v="1"/>
    <s v="Free"/>
    <n v="1"/>
    <n v="0"/>
    <n v="0"/>
    <n v="0"/>
    <n v="0"/>
    <n v="0"/>
    <n v="0"/>
    <m/>
    <n v="46.3"/>
  </r>
  <r>
    <x v="975"/>
    <d v="2025-04-02T00:00:00"/>
    <x v="1"/>
    <x v="3"/>
    <x v="0"/>
    <x v="0"/>
    <s v="Basic"/>
    <n v="1"/>
    <n v="0"/>
    <n v="0"/>
    <n v="0"/>
    <n v="0"/>
    <n v="0"/>
    <n v="0"/>
    <m/>
    <n v="71.599999999999994"/>
  </r>
  <r>
    <x v="976"/>
    <d v="2025-04-12T00:00:00"/>
    <x v="1"/>
    <x v="3"/>
    <x v="0"/>
    <x v="0"/>
    <s v="Premium"/>
    <n v="1"/>
    <n v="1"/>
    <n v="0"/>
    <n v="0"/>
    <n v="0"/>
    <n v="0"/>
    <n v="0"/>
    <m/>
    <n v="57.8"/>
  </r>
  <r>
    <x v="977"/>
    <d v="2025-01-03T00:00:00"/>
    <x v="1"/>
    <x v="1"/>
    <x v="0"/>
    <x v="0"/>
    <s v="Basic"/>
    <n v="1"/>
    <n v="1"/>
    <n v="1"/>
    <n v="0"/>
    <n v="0"/>
    <n v="1"/>
    <n v="0"/>
    <m/>
    <n v="57.8"/>
  </r>
  <r>
    <x v="978"/>
    <d v="2025-05-08T00:00:00"/>
    <x v="1"/>
    <x v="0"/>
    <x v="1"/>
    <x v="2"/>
    <s v="Free"/>
    <n v="1"/>
    <n v="0"/>
    <n v="0"/>
    <n v="0"/>
    <n v="0"/>
    <n v="0"/>
    <n v="0"/>
    <m/>
    <n v="38.299999999999997"/>
  </r>
  <r>
    <x v="979"/>
    <d v="2025-02-20T00:00:00"/>
    <x v="1"/>
    <x v="0"/>
    <x v="1"/>
    <x v="3"/>
    <s v="Premium"/>
    <n v="1"/>
    <n v="0"/>
    <n v="0"/>
    <n v="0"/>
    <n v="0"/>
    <n v="1"/>
    <n v="0"/>
    <m/>
    <n v="66.099999999999994"/>
  </r>
  <r>
    <x v="980"/>
    <d v="2025-03-17T00:00:00"/>
    <x v="1"/>
    <x v="0"/>
    <x v="0"/>
    <x v="2"/>
    <s v="Premium"/>
    <n v="1"/>
    <n v="0"/>
    <n v="0"/>
    <n v="0"/>
    <n v="0"/>
    <n v="0"/>
    <n v="0"/>
    <m/>
    <n v="66.5"/>
  </r>
  <r>
    <x v="981"/>
    <d v="2025-04-10T00:00:00"/>
    <x v="1"/>
    <x v="3"/>
    <x v="0"/>
    <x v="0"/>
    <s v="Free"/>
    <n v="1"/>
    <n v="0"/>
    <n v="0"/>
    <n v="0"/>
    <n v="0"/>
    <n v="3"/>
    <n v="0"/>
    <m/>
    <n v="51.5"/>
  </r>
  <r>
    <x v="982"/>
    <d v="2025-05-08T00:00:00"/>
    <x v="1"/>
    <x v="0"/>
    <x v="0"/>
    <x v="3"/>
    <s v="Free"/>
    <n v="1"/>
    <n v="0"/>
    <n v="0"/>
    <n v="0"/>
    <n v="0"/>
    <n v="0"/>
    <n v="0"/>
    <m/>
    <n v="59.9"/>
  </r>
  <r>
    <x v="983"/>
    <d v="2025-04-19T00:00:00"/>
    <x v="1"/>
    <x v="1"/>
    <x v="1"/>
    <x v="2"/>
    <s v="Basic"/>
    <n v="1"/>
    <n v="0"/>
    <n v="0"/>
    <n v="0"/>
    <n v="0"/>
    <n v="0"/>
    <n v="0"/>
    <m/>
    <n v="58.8"/>
  </r>
  <r>
    <x v="984"/>
    <d v="2025-01-01T00:00:00"/>
    <x v="1"/>
    <x v="3"/>
    <x v="2"/>
    <x v="2"/>
    <s v="Basic"/>
    <n v="1"/>
    <n v="0"/>
    <n v="0"/>
    <n v="0"/>
    <n v="0"/>
    <n v="0"/>
    <n v="0"/>
    <m/>
    <n v="69.599999999999994"/>
  </r>
  <r>
    <x v="985"/>
    <d v="2025-03-10T00:00:00"/>
    <x v="1"/>
    <x v="2"/>
    <x v="1"/>
    <x v="2"/>
    <s v="Free"/>
    <n v="1"/>
    <n v="0"/>
    <n v="0"/>
    <n v="0"/>
    <n v="0"/>
    <n v="0"/>
    <n v="0"/>
    <m/>
    <n v="77.5"/>
  </r>
  <r>
    <x v="986"/>
    <d v="2025-03-10T00:00:00"/>
    <x v="1"/>
    <x v="2"/>
    <x v="2"/>
    <x v="4"/>
    <s v="Premium"/>
    <n v="0"/>
    <n v="0"/>
    <n v="0"/>
    <n v="0"/>
    <n v="0"/>
    <n v="2"/>
    <n v="0"/>
    <m/>
    <n v="57.5"/>
  </r>
  <r>
    <x v="987"/>
    <d v="2025-04-19T00:00:00"/>
    <x v="1"/>
    <x v="1"/>
    <x v="2"/>
    <x v="0"/>
    <s v="Basic"/>
    <n v="1"/>
    <n v="0"/>
    <n v="0"/>
    <n v="0"/>
    <n v="0"/>
    <n v="0"/>
    <n v="0"/>
    <m/>
    <n v="64.2"/>
  </r>
  <r>
    <x v="988"/>
    <d v="2025-04-11T00:00:00"/>
    <x v="1"/>
    <x v="1"/>
    <x v="0"/>
    <x v="1"/>
    <s v="Free"/>
    <n v="0"/>
    <n v="0"/>
    <n v="0"/>
    <n v="0"/>
    <n v="0"/>
    <n v="0"/>
    <n v="0"/>
    <m/>
    <n v="60"/>
  </r>
  <r>
    <x v="989"/>
    <d v="2025-04-10T00:00:00"/>
    <x v="1"/>
    <x v="2"/>
    <x v="1"/>
    <x v="1"/>
    <s v="Basic"/>
    <n v="1"/>
    <n v="0"/>
    <n v="0"/>
    <n v="0"/>
    <n v="0"/>
    <n v="1"/>
    <n v="0"/>
    <m/>
    <n v="43.7"/>
  </r>
  <r>
    <x v="990"/>
    <d v="2025-01-13T00:00:00"/>
    <x v="1"/>
    <x v="1"/>
    <x v="0"/>
    <x v="4"/>
    <s v="Free"/>
    <n v="1"/>
    <n v="0"/>
    <n v="0"/>
    <n v="0"/>
    <n v="0"/>
    <n v="0"/>
    <n v="0"/>
    <m/>
    <n v="64.900000000000006"/>
  </r>
  <r>
    <x v="991"/>
    <d v="2025-03-28T00:00:00"/>
    <x v="1"/>
    <x v="3"/>
    <x v="0"/>
    <x v="1"/>
    <s v="Free"/>
    <n v="1"/>
    <n v="1"/>
    <n v="0"/>
    <n v="0"/>
    <n v="0"/>
    <n v="0"/>
    <n v="0"/>
    <m/>
    <n v="45.5"/>
  </r>
  <r>
    <x v="992"/>
    <d v="2025-01-29T00:00:00"/>
    <x v="1"/>
    <x v="2"/>
    <x v="1"/>
    <x v="2"/>
    <s v="Free"/>
    <n v="1"/>
    <n v="1"/>
    <n v="1"/>
    <n v="1"/>
    <n v="1772.97"/>
    <n v="0"/>
    <n v="0"/>
    <n v="8"/>
    <n v="61.2"/>
  </r>
  <r>
    <x v="993"/>
    <d v="2025-03-27T00:00:00"/>
    <x v="1"/>
    <x v="3"/>
    <x v="1"/>
    <x v="3"/>
    <s v="Free"/>
    <n v="0"/>
    <n v="0"/>
    <n v="0"/>
    <n v="0"/>
    <n v="0"/>
    <n v="0"/>
    <n v="0"/>
    <m/>
    <n v="87.8"/>
  </r>
  <r>
    <x v="994"/>
    <d v="2025-03-20T00:00:00"/>
    <x v="1"/>
    <x v="2"/>
    <x v="2"/>
    <x v="4"/>
    <s v="Free"/>
    <n v="0"/>
    <n v="0"/>
    <n v="0"/>
    <n v="0"/>
    <n v="0"/>
    <n v="0"/>
    <n v="0"/>
    <m/>
    <n v="86.4"/>
  </r>
  <r>
    <x v="995"/>
    <d v="2025-01-09T00:00:00"/>
    <x v="1"/>
    <x v="0"/>
    <x v="1"/>
    <x v="2"/>
    <s v="Basic"/>
    <n v="0"/>
    <n v="0"/>
    <n v="0"/>
    <n v="0"/>
    <n v="0"/>
    <n v="1"/>
    <n v="0"/>
    <m/>
    <n v="71.400000000000006"/>
  </r>
  <r>
    <x v="996"/>
    <d v="2025-04-25T00:00:00"/>
    <x v="1"/>
    <x v="1"/>
    <x v="1"/>
    <x v="4"/>
    <s v="Free"/>
    <n v="1"/>
    <n v="1"/>
    <n v="1"/>
    <n v="1"/>
    <n v="218.66"/>
    <n v="0"/>
    <n v="1"/>
    <n v="8"/>
    <n v="72.2"/>
  </r>
  <r>
    <x v="997"/>
    <d v="2025-04-11T00:00:00"/>
    <x v="1"/>
    <x v="3"/>
    <x v="0"/>
    <x v="4"/>
    <s v="Free"/>
    <n v="1"/>
    <n v="0"/>
    <n v="0"/>
    <n v="0"/>
    <n v="0"/>
    <n v="0"/>
    <n v="0"/>
    <m/>
    <n v="51.9"/>
  </r>
  <r>
    <x v="998"/>
    <d v="2025-02-05T00:00:00"/>
    <x v="1"/>
    <x v="2"/>
    <x v="1"/>
    <x v="4"/>
    <s v="Basic"/>
    <n v="1"/>
    <n v="1"/>
    <n v="1"/>
    <n v="0"/>
    <n v="0"/>
    <n v="0"/>
    <n v="0"/>
    <m/>
    <n v="70.3"/>
  </r>
  <r>
    <x v="999"/>
    <d v="2025-03-28T00:00:00"/>
    <x v="1"/>
    <x v="3"/>
    <x v="1"/>
    <x v="4"/>
    <s v="Premium"/>
    <n v="1"/>
    <n v="0"/>
    <n v="0"/>
    <n v="0"/>
    <n v="0"/>
    <n v="1"/>
    <n v="0"/>
    <m/>
    <n v="49.2"/>
  </r>
  <r>
    <x v="1000"/>
    <d v="2025-05-14T00:00:00"/>
    <x v="1"/>
    <x v="3"/>
    <x v="1"/>
    <x v="3"/>
    <s v="Free"/>
    <n v="0"/>
    <n v="0"/>
    <n v="0"/>
    <n v="0"/>
    <n v="0"/>
    <n v="0"/>
    <n v="0"/>
    <m/>
    <n v="52.2"/>
  </r>
  <r>
    <x v="1001"/>
    <d v="2025-03-10T00:00:00"/>
    <x v="1"/>
    <x v="2"/>
    <x v="1"/>
    <x v="2"/>
    <s v="Basic"/>
    <n v="0"/>
    <n v="0"/>
    <n v="0"/>
    <n v="0"/>
    <n v="0"/>
    <n v="1"/>
    <n v="0"/>
    <m/>
    <n v="62.6"/>
  </r>
  <r>
    <x v="1002"/>
    <d v="2025-04-09T00:00:00"/>
    <x v="1"/>
    <x v="2"/>
    <x v="0"/>
    <x v="2"/>
    <s v="Free"/>
    <n v="1"/>
    <n v="1"/>
    <n v="0"/>
    <n v="0"/>
    <n v="0"/>
    <n v="0"/>
    <n v="0"/>
    <m/>
    <n v="100"/>
  </r>
  <r>
    <x v="1003"/>
    <d v="2025-02-13T00:00:00"/>
    <x v="1"/>
    <x v="0"/>
    <x v="1"/>
    <x v="3"/>
    <s v="Basic"/>
    <n v="1"/>
    <n v="1"/>
    <n v="1"/>
    <n v="0"/>
    <n v="0"/>
    <n v="2"/>
    <n v="0"/>
    <m/>
    <n v="45.9"/>
  </r>
  <r>
    <x v="1004"/>
    <d v="2025-05-03T00:00:00"/>
    <x v="1"/>
    <x v="2"/>
    <x v="1"/>
    <x v="0"/>
    <s v="Free"/>
    <n v="1"/>
    <n v="1"/>
    <n v="1"/>
    <n v="0"/>
    <n v="0"/>
    <n v="0"/>
    <n v="0"/>
    <m/>
    <n v="80.7"/>
  </r>
  <r>
    <x v="1005"/>
    <d v="2025-04-16T00:00:00"/>
    <x v="1"/>
    <x v="3"/>
    <x v="0"/>
    <x v="3"/>
    <s v="Premium"/>
    <n v="1"/>
    <n v="0"/>
    <n v="0"/>
    <n v="0"/>
    <n v="0"/>
    <n v="0"/>
    <n v="0"/>
    <m/>
    <n v="51.9"/>
  </r>
  <r>
    <x v="1006"/>
    <d v="2025-04-30T00:00:00"/>
    <x v="1"/>
    <x v="0"/>
    <x v="1"/>
    <x v="2"/>
    <s v="Premium"/>
    <n v="1"/>
    <n v="0"/>
    <n v="0"/>
    <n v="0"/>
    <n v="0"/>
    <n v="0"/>
    <n v="0"/>
    <m/>
    <n v="68.900000000000006"/>
  </r>
  <r>
    <x v="1007"/>
    <d v="2025-02-18T00:00:00"/>
    <x v="1"/>
    <x v="1"/>
    <x v="0"/>
    <x v="1"/>
    <s v="Free"/>
    <n v="1"/>
    <n v="0"/>
    <n v="0"/>
    <n v="0"/>
    <n v="0"/>
    <n v="0"/>
    <n v="0"/>
    <m/>
    <n v="66"/>
  </r>
  <r>
    <x v="1008"/>
    <d v="2025-05-22T00:00:00"/>
    <x v="1"/>
    <x v="1"/>
    <x v="0"/>
    <x v="3"/>
    <s v="Basic"/>
    <n v="0"/>
    <n v="0"/>
    <n v="0"/>
    <n v="0"/>
    <n v="0"/>
    <n v="0"/>
    <n v="0"/>
    <m/>
    <n v="63.1"/>
  </r>
  <r>
    <x v="1009"/>
    <d v="2025-05-21T00:00:00"/>
    <x v="1"/>
    <x v="3"/>
    <x v="0"/>
    <x v="1"/>
    <s v="Free"/>
    <n v="0"/>
    <n v="0"/>
    <n v="0"/>
    <n v="0"/>
    <n v="0"/>
    <n v="0"/>
    <n v="0"/>
    <m/>
    <n v="56"/>
  </r>
  <r>
    <x v="1010"/>
    <d v="2025-04-10T00:00:00"/>
    <x v="1"/>
    <x v="2"/>
    <x v="0"/>
    <x v="1"/>
    <s v="Free"/>
    <n v="1"/>
    <n v="0"/>
    <n v="0"/>
    <n v="0"/>
    <n v="0"/>
    <n v="1"/>
    <n v="0"/>
    <m/>
    <n v="65.7"/>
  </r>
  <r>
    <x v="1011"/>
    <d v="2025-01-07T00:00:00"/>
    <x v="1"/>
    <x v="0"/>
    <x v="0"/>
    <x v="1"/>
    <s v="Premium"/>
    <n v="1"/>
    <n v="1"/>
    <n v="1"/>
    <n v="1"/>
    <n v="1938.31"/>
    <n v="1"/>
    <n v="0"/>
    <n v="9"/>
    <n v="60.9"/>
  </r>
  <r>
    <x v="1012"/>
    <d v="2025-02-03T00:00:00"/>
    <x v="1"/>
    <x v="3"/>
    <x v="0"/>
    <x v="4"/>
    <s v="Free"/>
    <n v="0"/>
    <n v="0"/>
    <n v="0"/>
    <n v="0"/>
    <n v="0"/>
    <n v="0"/>
    <n v="0"/>
    <m/>
    <n v="45.5"/>
  </r>
  <r>
    <x v="1013"/>
    <d v="2025-05-18T00:00:00"/>
    <x v="1"/>
    <x v="0"/>
    <x v="1"/>
    <x v="2"/>
    <s v="Free"/>
    <n v="1"/>
    <n v="0"/>
    <n v="0"/>
    <n v="0"/>
    <n v="0"/>
    <n v="0"/>
    <n v="0"/>
    <m/>
    <n v="50"/>
  </r>
  <r>
    <x v="1014"/>
    <d v="2025-01-31T00:00:00"/>
    <x v="1"/>
    <x v="0"/>
    <x v="1"/>
    <x v="3"/>
    <s v="Free"/>
    <n v="1"/>
    <n v="0"/>
    <n v="0"/>
    <n v="0"/>
    <n v="0"/>
    <n v="0"/>
    <n v="0"/>
    <m/>
    <n v="72.099999999999994"/>
  </r>
  <r>
    <x v="1015"/>
    <d v="2025-01-16T00:00:00"/>
    <x v="1"/>
    <x v="3"/>
    <x v="0"/>
    <x v="1"/>
    <s v="Basic"/>
    <n v="1"/>
    <n v="0"/>
    <n v="0"/>
    <n v="0"/>
    <n v="0"/>
    <n v="0"/>
    <n v="0"/>
    <m/>
    <n v="76.3"/>
  </r>
  <r>
    <x v="1016"/>
    <d v="2025-05-14T00:00:00"/>
    <x v="1"/>
    <x v="2"/>
    <x v="1"/>
    <x v="2"/>
    <s v="Basic"/>
    <n v="1"/>
    <n v="1"/>
    <n v="0"/>
    <n v="0"/>
    <n v="0"/>
    <n v="1"/>
    <n v="0"/>
    <m/>
    <n v="54.8"/>
  </r>
  <r>
    <x v="1017"/>
    <d v="2025-04-01T00:00:00"/>
    <x v="1"/>
    <x v="3"/>
    <x v="1"/>
    <x v="5"/>
    <s v="Basic"/>
    <n v="1"/>
    <n v="0"/>
    <n v="0"/>
    <n v="0"/>
    <n v="0"/>
    <n v="0"/>
    <n v="0"/>
    <m/>
    <n v="63.6"/>
  </r>
  <r>
    <x v="1018"/>
    <d v="2025-04-23T00:00:00"/>
    <x v="1"/>
    <x v="3"/>
    <x v="1"/>
    <x v="1"/>
    <s v="Free"/>
    <n v="1"/>
    <n v="0"/>
    <n v="0"/>
    <n v="0"/>
    <n v="0"/>
    <n v="0"/>
    <n v="0"/>
    <m/>
    <n v="68.8"/>
  </r>
  <r>
    <x v="1019"/>
    <d v="2025-03-02T00:00:00"/>
    <x v="1"/>
    <x v="3"/>
    <x v="0"/>
    <x v="2"/>
    <s v="Basic"/>
    <n v="1"/>
    <n v="0"/>
    <n v="0"/>
    <n v="0"/>
    <n v="0"/>
    <n v="0"/>
    <n v="0"/>
    <m/>
    <n v="63.2"/>
  </r>
  <r>
    <x v="1020"/>
    <d v="2025-01-02T00:00:00"/>
    <x v="1"/>
    <x v="2"/>
    <x v="1"/>
    <x v="2"/>
    <s v="Basic"/>
    <n v="0"/>
    <n v="0"/>
    <n v="0"/>
    <n v="0"/>
    <n v="0"/>
    <n v="0"/>
    <n v="0"/>
    <m/>
    <n v="45"/>
  </r>
  <r>
    <x v="1021"/>
    <d v="2025-05-04T00:00:00"/>
    <x v="1"/>
    <x v="3"/>
    <x v="1"/>
    <x v="1"/>
    <s v="Free"/>
    <n v="1"/>
    <n v="0"/>
    <n v="0"/>
    <n v="0"/>
    <n v="0"/>
    <n v="0"/>
    <n v="0"/>
    <m/>
    <n v="77.400000000000006"/>
  </r>
  <r>
    <x v="1022"/>
    <d v="2025-01-16T00:00:00"/>
    <x v="1"/>
    <x v="2"/>
    <x v="0"/>
    <x v="2"/>
    <s v="Basic"/>
    <n v="0"/>
    <n v="0"/>
    <n v="0"/>
    <n v="0"/>
    <n v="0"/>
    <n v="0"/>
    <n v="0"/>
    <m/>
    <n v="53.1"/>
  </r>
  <r>
    <x v="1023"/>
    <d v="2025-02-11T00:00:00"/>
    <x v="1"/>
    <x v="1"/>
    <x v="2"/>
    <x v="2"/>
    <s v="Premium"/>
    <n v="0"/>
    <n v="0"/>
    <n v="0"/>
    <n v="0"/>
    <n v="0"/>
    <n v="0"/>
    <n v="0"/>
    <m/>
    <n v="74"/>
  </r>
  <r>
    <x v="1024"/>
    <d v="2025-04-03T00:00:00"/>
    <x v="1"/>
    <x v="0"/>
    <x v="1"/>
    <x v="4"/>
    <s v="Premium"/>
    <n v="1"/>
    <n v="1"/>
    <n v="1"/>
    <n v="1"/>
    <n v="1906.23"/>
    <n v="0"/>
    <n v="0"/>
    <n v="4"/>
    <n v="84.6"/>
  </r>
  <r>
    <x v="1025"/>
    <d v="2025-03-26T00:00:00"/>
    <x v="1"/>
    <x v="2"/>
    <x v="1"/>
    <x v="3"/>
    <s v="Free"/>
    <n v="1"/>
    <n v="0"/>
    <n v="0"/>
    <n v="0"/>
    <n v="0"/>
    <n v="0"/>
    <n v="0"/>
    <m/>
    <n v="57"/>
  </r>
  <r>
    <x v="1026"/>
    <d v="2025-05-16T00:00:00"/>
    <x v="1"/>
    <x v="3"/>
    <x v="1"/>
    <x v="0"/>
    <s v="Premium"/>
    <n v="0"/>
    <n v="0"/>
    <n v="0"/>
    <n v="0"/>
    <n v="0"/>
    <n v="0"/>
    <n v="0"/>
    <m/>
    <n v="46.3"/>
  </r>
  <r>
    <x v="1027"/>
    <d v="2025-04-20T00:00:00"/>
    <x v="1"/>
    <x v="1"/>
    <x v="1"/>
    <x v="4"/>
    <s v="Free"/>
    <n v="0"/>
    <n v="0"/>
    <n v="0"/>
    <n v="0"/>
    <n v="0"/>
    <n v="1"/>
    <n v="0"/>
    <m/>
    <n v="64.400000000000006"/>
  </r>
  <r>
    <x v="1028"/>
    <d v="2025-04-15T00:00:00"/>
    <x v="1"/>
    <x v="1"/>
    <x v="1"/>
    <x v="2"/>
    <s v="Free"/>
    <n v="1"/>
    <n v="0"/>
    <n v="0"/>
    <n v="0"/>
    <n v="0"/>
    <n v="2"/>
    <n v="0"/>
    <m/>
    <n v="61.9"/>
  </r>
  <r>
    <x v="1029"/>
    <d v="2025-01-24T00:00:00"/>
    <x v="1"/>
    <x v="0"/>
    <x v="1"/>
    <x v="1"/>
    <s v="Premium"/>
    <n v="1"/>
    <n v="1"/>
    <n v="1"/>
    <n v="0"/>
    <n v="0"/>
    <n v="0"/>
    <n v="0"/>
    <m/>
    <n v="93.7"/>
  </r>
  <r>
    <x v="1030"/>
    <d v="2025-04-11T00:00:00"/>
    <x v="1"/>
    <x v="3"/>
    <x v="1"/>
    <x v="3"/>
    <s v="Basic"/>
    <n v="0"/>
    <n v="0"/>
    <n v="0"/>
    <n v="0"/>
    <n v="0"/>
    <n v="0"/>
    <n v="0"/>
    <m/>
    <n v="61.6"/>
  </r>
  <r>
    <x v="1031"/>
    <d v="2025-05-19T00:00:00"/>
    <x v="1"/>
    <x v="0"/>
    <x v="1"/>
    <x v="2"/>
    <s v="Free"/>
    <n v="1"/>
    <n v="0"/>
    <n v="0"/>
    <n v="0"/>
    <n v="0"/>
    <n v="0"/>
    <n v="0"/>
    <m/>
    <n v="72.2"/>
  </r>
  <r>
    <x v="1032"/>
    <d v="2025-01-14T00:00:00"/>
    <x v="1"/>
    <x v="0"/>
    <x v="1"/>
    <x v="1"/>
    <s v="Basic"/>
    <n v="0"/>
    <n v="0"/>
    <n v="0"/>
    <n v="0"/>
    <n v="0"/>
    <n v="0"/>
    <n v="0"/>
    <m/>
    <n v="69.5"/>
  </r>
  <r>
    <x v="1033"/>
    <d v="2025-02-28T00:00:00"/>
    <x v="1"/>
    <x v="2"/>
    <x v="0"/>
    <x v="1"/>
    <s v="Basic"/>
    <n v="0"/>
    <n v="0"/>
    <n v="0"/>
    <n v="0"/>
    <n v="0"/>
    <n v="0"/>
    <n v="0"/>
    <m/>
    <n v="59.7"/>
  </r>
  <r>
    <x v="1034"/>
    <d v="2025-05-18T00:00:00"/>
    <x v="1"/>
    <x v="2"/>
    <x v="2"/>
    <x v="2"/>
    <s v="Basic"/>
    <n v="1"/>
    <n v="0"/>
    <n v="0"/>
    <n v="0"/>
    <n v="0"/>
    <n v="0"/>
    <n v="0"/>
    <m/>
    <n v="73.900000000000006"/>
  </r>
  <r>
    <x v="1035"/>
    <d v="2025-01-04T00:00:00"/>
    <x v="1"/>
    <x v="0"/>
    <x v="1"/>
    <x v="4"/>
    <s v="Free"/>
    <n v="0"/>
    <n v="0"/>
    <n v="0"/>
    <n v="0"/>
    <n v="0"/>
    <n v="0"/>
    <n v="0"/>
    <m/>
    <n v="41.5"/>
  </r>
  <r>
    <x v="1036"/>
    <d v="2025-01-16T00:00:00"/>
    <x v="1"/>
    <x v="1"/>
    <x v="1"/>
    <x v="4"/>
    <s v="Premium"/>
    <n v="1"/>
    <n v="0"/>
    <n v="0"/>
    <n v="0"/>
    <n v="0"/>
    <n v="0"/>
    <n v="0"/>
    <m/>
    <n v="82.8"/>
  </r>
  <r>
    <x v="1037"/>
    <d v="2025-03-14T00:00:00"/>
    <x v="1"/>
    <x v="1"/>
    <x v="1"/>
    <x v="4"/>
    <s v="Premium"/>
    <n v="1"/>
    <n v="0"/>
    <n v="0"/>
    <n v="0"/>
    <n v="0"/>
    <n v="3"/>
    <n v="0"/>
    <m/>
    <n v="70.2"/>
  </r>
  <r>
    <x v="1038"/>
    <d v="2025-01-23T00:00:00"/>
    <x v="1"/>
    <x v="2"/>
    <x v="1"/>
    <x v="2"/>
    <s v="Basic"/>
    <n v="1"/>
    <n v="0"/>
    <n v="0"/>
    <n v="0"/>
    <n v="0"/>
    <n v="1"/>
    <n v="0"/>
    <m/>
    <n v="69.400000000000006"/>
  </r>
  <r>
    <x v="1039"/>
    <d v="2025-02-03T00:00:00"/>
    <x v="1"/>
    <x v="0"/>
    <x v="0"/>
    <x v="1"/>
    <s v="Basic"/>
    <n v="1"/>
    <n v="0"/>
    <n v="0"/>
    <n v="0"/>
    <n v="0"/>
    <n v="0"/>
    <n v="0"/>
    <m/>
    <n v="60.4"/>
  </r>
  <r>
    <x v="1040"/>
    <d v="2025-05-16T00:00:00"/>
    <x v="1"/>
    <x v="2"/>
    <x v="1"/>
    <x v="3"/>
    <s v="Free"/>
    <n v="1"/>
    <n v="0"/>
    <n v="0"/>
    <n v="0"/>
    <n v="0"/>
    <n v="0"/>
    <n v="0"/>
    <m/>
    <n v="45.7"/>
  </r>
  <r>
    <x v="1041"/>
    <d v="2025-01-11T00:00:00"/>
    <x v="1"/>
    <x v="1"/>
    <x v="1"/>
    <x v="1"/>
    <s v="Basic"/>
    <n v="0"/>
    <n v="0"/>
    <n v="0"/>
    <n v="0"/>
    <n v="0"/>
    <n v="1"/>
    <n v="0"/>
    <m/>
    <n v="42.2"/>
  </r>
  <r>
    <x v="1042"/>
    <d v="2025-05-25T00:00:00"/>
    <x v="1"/>
    <x v="0"/>
    <x v="0"/>
    <x v="1"/>
    <s v="Free"/>
    <n v="0"/>
    <n v="0"/>
    <n v="0"/>
    <n v="0"/>
    <n v="0"/>
    <n v="2"/>
    <n v="0"/>
    <m/>
    <n v="61.9"/>
  </r>
  <r>
    <x v="1043"/>
    <d v="2025-05-08T00:00:00"/>
    <x v="1"/>
    <x v="2"/>
    <x v="1"/>
    <x v="2"/>
    <s v="Premium"/>
    <n v="0"/>
    <n v="0"/>
    <n v="0"/>
    <n v="0"/>
    <n v="0"/>
    <n v="0"/>
    <n v="0"/>
    <m/>
    <n v="44.9"/>
  </r>
  <r>
    <x v="1044"/>
    <d v="2025-02-26T00:00:00"/>
    <x v="1"/>
    <x v="2"/>
    <x v="0"/>
    <x v="5"/>
    <s v="Basic"/>
    <n v="1"/>
    <n v="0"/>
    <n v="0"/>
    <n v="0"/>
    <n v="0"/>
    <n v="0"/>
    <n v="0"/>
    <m/>
    <n v="68"/>
  </r>
  <r>
    <x v="1045"/>
    <d v="2025-03-30T00:00:00"/>
    <x v="1"/>
    <x v="0"/>
    <x v="1"/>
    <x v="2"/>
    <s v="Free"/>
    <n v="1"/>
    <n v="0"/>
    <n v="0"/>
    <n v="0"/>
    <n v="0"/>
    <n v="0"/>
    <n v="0"/>
    <m/>
    <n v="61"/>
  </r>
  <r>
    <x v="1046"/>
    <d v="2025-04-13T00:00:00"/>
    <x v="1"/>
    <x v="1"/>
    <x v="1"/>
    <x v="1"/>
    <s v="Basic"/>
    <n v="1"/>
    <n v="0"/>
    <n v="0"/>
    <n v="0"/>
    <n v="0"/>
    <n v="0"/>
    <n v="0"/>
    <m/>
    <n v="55"/>
  </r>
  <r>
    <x v="1047"/>
    <d v="2025-02-20T00:00:00"/>
    <x v="1"/>
    <x v="2"/>
    <x v="3"/>
    <x v="2"/>
    <s v="Basic"/>
    <n v="1"/>
    <n v="0"/>
    <n v="0"/>
    <n v="0"/>
    <n v="0"/>
    <n v="0"/>
    <n v="0"/>
    <m/>
    <n v="63.1"/>
  </r>
  <r>
    <x v="1048"/>
    <d v="2025-04-19T00:00:00"/>
    <x v="1"/>
    <x v="1"/>
    <x v="0"/>
    <x v="4"/>
    <s v="Free"/>
    <n v="1"/>
    <n v="0"/>
    <n v="0"/>
    <n v="0"/>
    <n v="0"/>
    <n v="0"/>
    <n v="0"/>
    <m/>
    <n v="75.8"/>
  </r>
  <r>
    <x v="1049"/>
    <d v="2025-03-22T00:00:00"/>
    <x v="1"/>
    <x v="3"/>
    <x v="1"/>
    <x v="2"/>
    <s v="Free"/>
    <n v="1"/>
    <n v="1"/>
    <n v="0"/>
    <n v="0"/>
    <n v="0"/>
    <n v="1"/>
    <n v="0"/>
    <m/>
    <n v="43.8"/>
  </r>
  <r>
    <x v="1050"/>
    <d v="2025-02-28T00:00:00"/>
    <x v="1"/>
    <x v="0"/>
    <x v="1"/>
    <x v="0"/>
    <s v="Basic"/>
    <n v="1"/>
    <n v="1"/>
    <n v="0"/>
    <n v="0"/>
    <n v="0"/>
    <n v="0"/>
    <n v="0"/>
    <m/>
    <n v="46.8"/>
  </r>
  <r>
    <x v="1051"/>
    <d v="2025-05-24T00:00:00"/>
    <x v="1"/>
    <x v="2"/>
    <x v="1"/>
    <x v="4"/>
    <s v="Free"/>
    <n v="1"/>
    <n v="1"/>
    <n v="1"/>
    <n v="0"/>
    <n v="0"/>
    <n v="0"/>
    <n v="0"/>
    <m/>
    <n v="97.4"/>
  </r>
  <r>
    <x v="1052"/>
    <d v="2025-02-03T00:00:00"/>
    <x v="1"/>
    <x v="0"/>
    <x v="0"/>
    <x v="0"/>
    <s v="Free"/>
    <n v="1"/>
    <n v="1"/>
    <n v="1"/>
    <n v="1"/>
    <n v="268.95999999999998"/>
    <n v="0"/>
    <n v="0"/>
    <n v="14"/>
    <n v="81"/>
  </r>
  <r>
    <x v="1053"/>
    <d v="2025-01-27T00:00:00"/>
    <x v="1"/>
    <x v="3"/>
    <x v="1"/>
    <x v="1"/>
    <s v="Free"/>
    <n v="1"/>
    <n v="0"/>
    <n v="0"/>
    <n v="0"/>
    <n v="0"/>
    <n v="1"/>
    <n v="0"/>
    <m/>
    <n v="58.9"/>
  </r>
  <r>
    <x v="1054"/>
    <d v="2025-04-17T00:00:00"/>
    <x v="1"/>
    <x v="2"/>
    <x v="1"/>
    <x v="1"/>
    <s v="Free"/>
    <n v="1"/>
    <n v="0"/>
    <n v="0"/>
    <n v="0"/>
    <n v="0"/>
    <n v="0"/>
    <n v="0"/>
    <m/>
    <n v="51.9"/>
  </r>
  <r>
    <x v="1055"/>
    <d v="2025-02-06T00:00:00"/>
    <x v="1"/>
    <x v="1"/>
    <x v="1"/>
    <x v="4"/>
    <s v="Free"/>
    <n v="1"/>
    <n v="1"/>
    <n v="0"/>
    <n v="0"/>
    <n v="0"/>
    <n v="0"/>
    <n v="0"/>
    <m/>
    <n v="61.7"/>
  </r>
  <r>
    <x v="1056"/>
    <d v="2025-04-20T00:00:00"/>
    <x v="1"/>
    <x v="3"/>
    <x v="1"/>
    <x v="2"/>
    <s v="Free"/>
    <n v="1"/>
    <n v="0"/>
    <n v="0"/>
    <n v="0"/>
    <n v="0"/>
    <n v="0"/>
    <n v="0"/>
    <m/>
    <n v="44.7"/>
  </r>
  <r>
    <x v="1057"/>
    <d v="2025-05-06T00:00:00"/>
    <x v="1"/>
    <x v="0"/>
    <x v="1"/>
    <x v="2"/>
    <s v="Basic"/>
    <n v="0"/>
    <n v="0"/>
    <n v="0"/>
    <n v="0"/>
    <n v="0"/>
    <n v="0"/>
    <n v="0"/>
    <m/>
    <n v="63.2"/>
  </r>
  <r>
    <x v="1058"/>
    <d v="2025-05-16T00:00:00"/>
    <x v="1"/>
    <x v="3"/>
    <x v="1"/>
    <x v="1"/>
    <s v="Free"/>
    <n v="1"/>
    <n v="0"/>
    <n v="0"/>
    <n v="0"/>
    <n v="0"/>
    <n v="0"/>
    <n v="0"/>
    <m/>
    <n v="70.3"/>
  </r>
  <r>
    <x v="1059"/>
    <d v="2025-03-02T00:00:00"/>
    <x v="1"/>
    <x v="3"/>
    <x v="1"/>
    <x v="2"/>
    <s v="Premium"/>
    <n v="1"/>
    <n v="1"/>
    <n v="0"/>
    <n v="0"/>
    <n v="0"/>
    <n v="1"/>
    <n v="0"/>
    <m/>
    <n v="83.1"/>
  </r>
  <r>
    <x v="1060"/>
    <d v="2025-04-09T00:00:00"/>
    <x v="1"/>
    <x v="1"/>
    <x v="1"/>
    <x v="4"/>
    <s v="Free"/>
    <n v="0"/>
    <n v="0"/>
    <n v="0"/>
    <n v="0"/>
    <n v="0"/>
    <n v="0"/>
    <n v="0"/>
    <m/>
    <n v="50.3"/>
  </r>
  <r>
    <x v="1061"/>
    <d v="2025-01-26T00:00:00"/>
    <x v="1"/>
    <x v="2"/>
    <x v="1"/>
    <x v="2"/>
    <s v="Free"/>
    <n v="1"/>
    <n v="1"/>
    <n v="1"/>
    <n v="1"/>
    <n v="437.09"/>
    <n v="2"/>
    <n v="1"/>
    <n v="1"/>
    <n v="58.2"/>
  </r>
  <r>
    <x v="1062"/>
    <d v="2025-02-25T00:00:00"/>
    <x v="1"/>
    <x v="3"/>
    <x v="1"/>
    <x v="2"/>
    <s v="Basic"/>
    <n v="1"/>
    <n v="1"/>
    <n v="1"/>
    <n v="0"/>
    <n v="0"/>
    <n v="0"/>
    <n v="0"/>
    <m/>
    <n v="53.2"/>
  </r>
  <r>
    <x v="1063"/>
    <d v="2025-01-07T00:00:00"/>
    <x v="1"/>
    <x v="2"/>
    <x v="1"/>
    <x v="1"/>
    <s v="Premium"/>
    <n v="0"/>
    <n v="0"/>
    <n v="0"/>
    <n v="0"/>
    <n v="0"/>
    <n v="0"/>
    <n v="0"/>
    <m/>
    <n v="36.4"/>
  </r>
  <r>
    <x v="1064"/>
    <d v="2025-03-08T00:00:00"/>
    <x v="1"/>
    <x v="3"/>
    <x v="1"/>
    <x v="4"/>
    <s v="Basic"/>
    <n v="1"/>
    <n v="1"/>
    <n v="1"/>
    <n v="0"/>
    <n v="0"/>
    <n v="0"/>
    <n v="0"/>
    <m/>
    <n v="72.7"/>
  </r>
  <r>
    <x v="1065"/>
    <d v="2025-05-22T00:00:00"/>
    <x v="1"/>
    <x v="2"/>
    <x v="1"/>
    <x v="3"/>
    <s v="Free"/>
    <n v="1"/>
    <n v="0"/>
    <n v="0"/>
    <n v="0"/>
    <n v="0"/>
    <n v="1"/>
    <n v="0"/>
    <m/>
    <n v="86.7"/>
  </r>
  <r>
    <x v="1066"/>
    <d v="2025-04-18T00:00:00"/>
    <x v="1"/>
    <x v="2"/>
    <x v="1"/>
    <x v="2"/>
    <s v="Premium"/>
    <n v="1"/>
    <n v="0"/>
    <n v="0"/>
    <n v="0"/>
    <n v="0"/>
    <n v="0"/>
    <n v="0"/>
    <m/>
    <n v="48.2"/>
  </r>
  <r>
    <x v="1067"/>
    <d v="2025-02-24T00:00:00"/>
    <x v="1"/>
    <x v="1"/>
    <x v="1"/>
    <x v="3"/>
    <s v="Basic"/>
    <n v="0"/>
    <n v="0"/>
    <n v="0"/>
    <n v="0"/>
    <n v="0"/>
    <n v="1"/>
    <n v="0"/>
    <m/>
    <n v="57.6"/>
  </r>
  <r>
    <x v="1068"/>
    <d v="2025-02-11T00:00:00"/>
    <x v="1"/>
    <x v="0"/>
    <x v="1"/>
    <x v="1"/>
    <s v="Free"/>
    <n v="1"/>
    <n v="1"/>
    <n v="1"/>
    <n v="0"/>
    <n v="0"/>
    <n v="0"/>
    <n v="0"/>
    <m/>
    <n v="75.7"/>
  </r>
  <r>
    <x v="1069"/>
    <d v="2025-03-11T00:00:00"/>
    <x v="1"/>
    <x v="1"/>
    <x v="0"/>
    <x v="2"/>
    <s v="Free"/>
    <n v="1"/>
    <n v="0"/>
    <n v="0"/>
    <n v="0"/>
    <n v="0"/>
    <n v="2"/>
    <n v="0"/>
    <m/>
    <n v="48.6"/>
  </r>
  <r>
    <x v="1070"/>
    <d v="2025-04-11T00:00:00"/>
    <x v="1"/>
    <x v="2"/>
    <x v="2"/>
    <x v="3"/>
    <s v="Free"/>
    <n v="1"/>
    <n v="1"/>
    <n v="1"/>
    <n v="0"/>
    <n v="0"/>
    <n v="0"/>
    <n v="0"/>
    <m/>
    <n v="72"/>
  </r>
  <r>
    <x v="1071"/>
    <d v="2025-03-11T00:00:00"/>
    <x v="1"/>
    <x v="0"/>
    <x v="1"/>
    <x v="1"/>
    <s v="Free"/>
    <n v="0"/>
    <n v="0"/>
    <n v="0"/>
    <n v="0"/>
    <n v="0"/>
    <n v="0"/>
    <n v="0"/>
    <m/>
    <n v="72.2"/>
  </r>
  <r>
    <x v="1072"/>
    <d v="2025-05-22T00:00:00"/>
    <x v="1"/>
    <x v="2"/>
    <x v="1"/>
    <x v="3"/>
    <s v="Free"/>
    <n v="1"/>
    <n v="0"/>
    <n v="0"/>
    <n v="0"/>
    <n v="0"/>
    <n v="1"/>
    <n v="0"/>
    <m/>
    <m/>
  </r>
  <r>
    <x v="1073"/>
    <d v="2025-02-22T00:00:00"/>
    <x v="1"/>
    <x v="3"/>
    <x v="0"/>
    <x v="1"/>
    <s v="Free"/>
    <n v="1"/>
    <n v="1"/>
    <n v="1"/>
    <n v="1"/>
    <n v="331.53"/>
    <n v="2"/>
    <n v="0"/>
    <n v="4"/>
    <n v="56.8"/>
  </r>
  <r>
    <x v="1074"/>
    <d v="2025-01-13T00:00:00"/>
    <x v="1"/>
    <x v="2"/>
    <x v="1"/>
    <x v="2"/>
    <s v="Basic"/>
    <n v="1"/>
    <n v="0"/>
    <n v="0"/>
    <n v="0"/>
    <n v="0"/>
    <n v="0"/>
    <n v="0"/>
    <m/>
    <n v="62.5"/>
  </r>
  <r>
    <x v="1075"/>
    <d v="2025-05-19T00:00:00"/>
    <x v="1"/>
    <x v="3"/>
    <x v="1"/>
    <x v="1"/>
    <s v="Free"/>
    <n v="1"/>
    <n v="0"/>
    <n v="0"/>
    <n v="0"/>
    <n v="0"/>
    <n v="0"/>
    <n v="0"/>
    <m/>
    <n v="63.4"/>
  </r>
  <r>
    <x v="1076"/>
    <d v="2025-03-08T00:00:00"/>
    <x v="1"/>
    <x v="0"/>
    <x v="2"/>
    <x v="1"/>
    <s v="Basic"/>
    <n v="1"/>
    <n v="1"/>
    <n v="1"/>
    <n v="1"/>
    <n v="774.78"/>
    <n v="0"/>
    <n v="0"/>
    <n v="3"/>
    <n v="46.8"/>
  </r>
  <r>
    <x v="1077"/>
    <d v="2025-04-20T00:00:00"/>
    <x v="1"/>
    <x v="3"/>
    <x v="1"/>
    <x v="1"/>
    <s v="Free"/>
    <n v="1"/>
    <n v="1"/>
    <n v="1"/>
    <n v="1"/>
    <n v="422.02"/>
    <n v="0"/>
    <n v="0"/>
    <n v="8"/>
    <n v="86.5"/>
  </r>
  <r>
    <x v="1078"/>
    <d v="2025-05-08T00:00:00"/>
    <x v="1"/>
    <x v="1"/>
    <x v="1"/>
    <x v="0"/>
    <s v="Basic"/>
    <n v="0"/>
    <n v="0"/>
    <n v="0"/>
    <n v="0"/>
    <n v="0"/>
    <n v="1"/>
    <n v="0"/>
    <m/>
    <n v="75.099999999999994"/>
  </r>
  <r>
    <x v="1079"/>
    <d v="2025-05-10T00:00:00"/>
    <x v="1"/>
    <x v="3"/>
    <x v="1"/>
    <x v="1"/>
    <s v="Basic"/>
    <n v="1"/>
    <n v="0"/>
    <n v="0"/>
    <n v="0"/>
    <n v="0"/>
    <n v="0"/>
    <n v="0"/>
    <m/>
    <n v="64.5"/>
  </r>
  <r>
    <x v="1080"/>
    <d v="2025-03-28T00:00:00"/>
    <x v="1"/>
    <x v="2"/>
    <x v="1"/>
    <x v="1"/>
    <s v="Free"/>
    <n v="1"/>
    <n v="0"/>
    <n v="0"/>
    <n v="0"/>
    <n v="0"/>
    <n v="0"/>
    <n v="0"/>
    <m/>
    <n v="54.2"/>
  </r>
  <r>
    <x v="1081"/>
    <d v="2025-04-30T00:00:00"/>
    <x v="1"/>
    <x v="2"/>
    <x v="1"/>
    <x v="2"/>
    <s v="Premium"/>
    <n v="1"/>
    <n v="1"/>
    <n v="1"/>
    <n v="0"/>
    <n v="0"/>
    <n v="0"/>
    <n v="0"/>
    <m/>
    <n v="84.1"/>
  </r>
  <r>
    <x v="1082"/>
    <d v="2025-02-08T00:00:00"/>
    <x v="1"/>
    <x v="0"/>
    <x v="1"/>
    <x v="1"/>
    <s v="Basic"/>
    <n v="0"/>
    <n v="0"/>
    <n v="0"/>
    <n v="0"/>
    <n v="0"/>
    <n v="1"/>
    <n v="0"/>
    <m/>
    <n v="49.1"/>
  </r>
  <r>
    <x v="1083"/>
    <d v="2025-03-07T00:00:00"/>
    <x v="1"/>
    <x v="3"/>
    <x v="1"/>
    <x v="3"/>
    <s v="Premium"/>
    <n v="0"/>
    <n v="0"/>
    <n v="0"/>
    <n v="0"/>
    <n v="0"/>
    <n v="0"/>
    <n v="0"/>
    <m/>
    <n v="92.7"/>
  </r>
  <r>
    <x v="1084"/>
    <d v="2025-05-21T00:00:00"/>
    <x v="1"/>
    <x v="3"/>
    <x v="1"/>
    <x v="4"/>
    <s v="Basic"/>
    <n v="1"/>
    <n v="1"/>
    <n v="1"/>
    <n v="0"/>
    <n v="0"/>
    <n v="1"/>
    <n v="0"/>
    <m/>
    <n v="58.7"/>
  </r>
  <r>
    <x v="1085"/>
    <d v="2025-04-12T00:00:00"/>
    <x v="1"/>
    <x v="3"/>
    <x v="1"/>
    <x v="4"/>
    <s v="Free"/>
    <n v="1"/>
    <n v="1"/>
    <n v="1"/>
    <n v="0"/>
    <n v="0"/>
    <n v="0"/>
    <n v="0"/>
    <m/>
    <n v="59.3"/>
  </r>
  <r>
    <x v="1086"/>
    <d v="2025-02-02T00:00:00"/>
    <x v="1"/>
    <x v="3"/>
    <x v="1"/>
    <x v="2"/>
    <s v="Free"/>
    <n v="1"/>
    <n v="0"/>
    <n v="0"/>
    <n v="0"/>
    <n v="0"/>
    <n v="0"/>
    <n v="0"/>
    <m/>
    <n v="62"/>
  </r>
  <r>
    <x v="1087"/>
    <d v="2025-04-22T00:00:00"/>
    <x v="1"/>
    <x v="0"/>
    <x v="2"/>
    <x v="3"/>
    <s v="Free"/>
    <n v="1"/>
    <n v="1"/>
    <n v="1"/>
    <n v="0"/>
    <n v="0"/>
    <n v="1"/>
    <n v="0"/>
    <m/>
    <n v="60.3"/>
  </r>
  <r>
    <x v="1088"/>
    <d v="2025-02-08T00:00:00"/>
    <x v="1"/>
    <x v="0"/>
    <x v="1"/>
    <x v="4"/>
    <s v="Basic"/>
    <n v="1"/>
    <n v="0"/>
    <n v="0"/>
    <n v="0"/>
    <n v="0"/>
    <n v="0"/>
    <n v="0"/>
    <m/>
    <n v="70.5"/>
  </r>
  <r>
    <x v="1089"/>
    <d v="2025-01-24T00:00:00"/>
    <x v="1"/>
    <x v="3"/>
    <x v="0"/>
    <x v="0"/>
    <s v="Free"/>
    <n v="1"/>
    <n v="0"/>
    <n v="0"/>
    <n v="0"/>
    <n v="0"/>
    <n v="0"/>
    <n v="0"/>
    <m/>
    <n v="36.799999999999997"/>
  </r>
  <r>
    <x v="1090"/>
    <d v="2025-05-12T00:00:00"/>
    <x v="1"/>
    <x v="3"/>
    <x v="1"/>
    <x v="2"/>
    <s v="Basic"/>
    <n v="0"/>
    <n v="0"/>
    <n v="0"/>
    <n v="0"/>
    <n v="0"/>
    <n v="1"/>
    <n v="0"/>
    <m/>
    <n v="73.2"/>
  </r>
  <r>
    <x v="1091"/>
    <d v="2025-03-30T00:00:00"/>
    <x v="1"/>
    <x v="0"/>
    <x v="1"/>
    <x v="1"/>
    <s v="Basic"/>
    <n v="0"/>
    <n v="0"/>
    <n v="0"/>
    <n v="0"/>
    <n v="0"/>
    <n v="0"/>
    <n v="0"/>
    <m/>
    <n v="70.099999999999994"/>
  </r>
  <r>
    <x v="1092"/>
    <d v="2025-01-02T00:00:00"/>
    <x v="1"/>
    <x v="3"/>
    <x v="0"/>
    <x v="2"/>
    <s v="Basic"/>
    <n v="1"/>
    <n v="0"/>
    <n v="0"/>
    <n v="0"/>
    <n v="0"/>
    <n v="0"/>
    <n v="0"/>
    <m/>
    <n v="76.400000000000006"/>
  </r>
  <r>
    <x v="1093"/>
    <d v="2025-03-21T00:00:00"/>
    <x v="1"/>
    <x v="3"/>
    <x v="2"/>
    <x v="0"/>
    <s v="Basic"/>
    <n v="0"/>
    <n v="0"/>
    <n v="0"/>
    <n v="0"/>
    <n v="0"/>
    <n v="0"/>
    <n v="0"/>
    <m/>
    <n v="46.4"/>
  </r>
  <r>
    <x v="1094"/>
    <d v="2025-01-25T00:00:00"/>
    <x v="1"/>
    <x v="1"/>
    <x v="1"/>
    <x v="1"/>
    <s v="Free"/>
    <n v="1"/>
    <n v="1"/>
    <n v="1"/>
    <n v="0"/>
    <n v="0"/>
    <n v="1"/>
    <n v="0"/>
    <m/>
    <n v="81.3"/>
  </r>
  <r>
    <x v="1095"/>
    <d v="2025-01-12T00:00:00"/>
    <x v="1"/>
    <x v="3"/>
    <x v="2"/>
    <x v="4"/>
    <s v="Free"/>
    <n v="1"/>
    <n v="1"/>
    <n v="1"/>
    <n v="0"/>
    <n v="0"/>
    <n v="0"/>
    <n v="0"/>
    <m/>
    <n v="55.3"/>
  </r>
  <r>
    <x v="1096"/>
    <d v="2025-03-18T00:00:00"/>
    <x v="1"/>
    <x v="2"/>
    <x v="0"/>
    <x v="3"/>
    <s v="Free"/>
    <n v="1"/>
    <n v="0"/>
    <n v="0"/>
    <n v="0"/>
    <n v="0"/>
    <n v="0"/>
    <n v="0"/>
    <m/>
    <n v="44.7"/>
  </r>
  <r>
    <x v="1097"/>
    <d v="2025-03-26T00:00:00"/>
    <x v="1"/>
    <x v="2"/>
    <x v="1"/>
    <x v="2"/>
    <s v="Basic"/>
    <n v="1"/>
    <n v="0"/>
    <n v="0"/>
    <n v="0"/>
    <n v="0"/>
    <n v="0"/>
    <n v="0"/>
    <m/>
    <n v="67.2"/>
  </r>
  <r>
    <x v="1098"/>
    <d v="2025-04-19T00:00:00"/>
    <x v="1"/>
    <x v="0"/>
    <x v="1"/>
    <x v="2"/>
    <s v="Basic"/>
    <n v="1"/>
    <n v="0"/>
    <n v="0"/>
    <n v="0"/>
    <n v="0"/>
    <n v="0"/>
    <n v="0"/>
    <m/>
    <m/>
  </r>
  <r>
    <x v="1099"/>
    <d v="2025-04-17T00:00:00"/>
    <x v="1"/>
    <x v="2"/>
    <x v="1"/>
    <x v="1"/>
    <s v="Premium"/>
    <n v="1"/>
    <n v="1"/>
    <n v="1"/>
    <n v="0"/>
    <n v="0"/>
    <n v="1"/>
    <n v="0"/>
    <m/>
    <n v="70.8"/>
  </r>
  <r>
    <x v="1100"/>
    <d v="2025-05-26T00:00:00"/>
    <x v="1"/>
    <x v="3"/>
    <x v="1"/>
    <x v="2"/>
    <s v="Free"/>
    <n v="1"/>
    <n v="0"/>
    <n v="0"/>
    <n v="0"/>
    <n v="0"/>
    <n v="0"/>
    <n v="0"/>
    <m/>
    <n v="71.3"/>
  </r>
  <r>
    <x v="1101"/>
    <d v="2025-04-14T00:00:00"/>
    <x v="1"/>
    <x v="0"/>
    <x v="1"/>
    <x v="4"/>
    <s v="Premium"/>
    <n v="1"/>
    <n v="1"/>
    <n v="1"/>
    <n v="0"/>
    <n v="0"/>
    <n v="0"/>
    <n v="0"/>
    <m/>
    <n v="69.400000000000006"/>
  </r>
  <r>
    <x v="1102"/>
    <d v="2025-01-23T00:00:00"/>
    <x v="1"/>
    <x v="3"/>
    <x v="1"/>
    <x v="1"/>
    <s v="Basic"/>
    <n v="1"/>
    <n v="1"/>
    <n v="0"/>
    <n v="0"/>
    <n v="0"/>
    <n v="0"/>
    <n v="0"/>
    <m/>
    <n v="58.9"/>
  </r>
  <r>
    <x v="1103"/>
    <d v="2025-01-06T00:00:00"/>
    <x v="1"/>
    <x v="2"/>
    <x v="1"/>
    <x v="3"/>
    <s v="Free"/>
    <n v="0"/>
    <n v="0"/>
    <n v="0"/>
    <n v="0"/>
    <n v="0"/>
    <n v="0"/>
    <n v="0"/>
    <m/>
    <n v="70.7"/>
  </r>
  <r>
    <x v="1104"/>
    <d v="2025-05-31T00:00:00"/>
    <x v="1"/>
    <x v="1"/>
    <x v="1"/>
    <x v="0"/>
    <s v="Basic"/>
    <n v="1"/>
    <n v="0"/>
    <n v="0"/>
    <n v="0"/>
    <n v="0"/>
    <n v="0"/>
    <n v="0"/>
    <m/>
    <n v="60.5"/>
  </r>
  <r>
    <x v="1105"/>
    <d v="2025-05-19T00:00:00"/>
    <x v="1"/>
    <x v="0"/>
    <x v="1"/>
    <x v="1"/>
    <s v="Basic"/>
    <n v="1"/>
    <n v="1"/>
    <n v="1"/>
    <n v="0"/>
    <n v="0"/>
    <n v="0"/>
    <n v="0"/>
    <m/>
    <n v="77.3"/>
  </r>
  <r>
    <x v="1106"/>
    <d v="2025-02-25T00:00:00"/>
    <x v="1"/>
    <x v="0"/>
    <x v="1"/>
    <x v="1"/>
    <s v="Free"/>
    <n v="0"/>
    <n v="0"/>
    <n v="0"/>
    <n v="0"/>
    <n v="0"/>
    <n v="1"/>
    <n v="0"/>
    <m/>
    <n v="39.5"/>
  </r>
  <r>
    <x v="1107"/>
    <d v="2025-01-10T00:00:00"/>
    <x v="1"/>
    <x v="3"/>
    <x v="2"/>
    <x v="1"/>
    <s v="Basic"/>
    <n v="1"/>
    <n v="0"/>
    <n v="0"/>
    <n v="0"/>
    <n v="0"/>
    <n v="0"/>
    <n v="0"/>
    <m/>
    <n v="68.099999999999994"/>
  </r>
  <r>
    <x v="1108"/>
    <d v="2025-05-13T00:00:00"/>
    <x v="1"/>
    <x v="0"/>
    <x v="2"/>
    <x v="2"/>
    <s v="Free"/>
    <n v="0"/>
    <n v="0"/>
    <n v="0"/>
    <n v="0"/>
    <n v="0"/>
    <n v="0"/>
    <n v="0"/>
    <m/>
    <n v="80.3"/>
  </r>
  <r>
    <x v="1109"/>
    <d v="2025-04-27T00:00:00"/>
    <x v="1"/>
    <x v="1"/>
    <x v="0"/>
    <x v="1"/>
    <s v="Premium"/>
    <n v="1"/>
    <n v="0"/>
    <n v="0"/>
    <n v="0"/>
    <n v="0"/>
    <n v="0"/>
    <n v="0"/>
    <m/>
    <n v="77.7"/>
  </r>
  <r>
    <x v="1110"/>
    <d v="2025-04-03T00:00:00"/>
    <x v="1"/>
    <x v="3"/>
    <x v="1"/>
    <x v="1"/>
    <s v="Free"/>
    <n v="1"/>
    <n v="0"/>
    <n v="0"/>
    <n v="0"/>
    <n v="0"/>
    <n v="1"/>
    <n v="0"/>
    <m/>
    <n v="66.2"/>
  </r>
  <r>
    <x v="1111"/>
    <d v="2025-03-26T00:00:00"/>
    <x v="1"/>
    <x v="3"/>
    <x v="1"/>
    <x v="1"/>
    <s v="Free"/>
    <n v="1"/>
    <n v="1"/>
    <n v="1"/>
    <n v="0"/>
    <n v="0"/>
    <n v="1"/>
    <n v="0"/>
    <m/>
    <n v="43.9"/>
  </r>
  <r>
    <x v="1112"/>
    <d v="2025-01-31T00:00:00"/>
    <x v="1"/>
    <x v="3"/>
    <x v="1"/>
    <x v="1"/>
    <s v="Basic"/>
    <n v="1"/>
    <n v="1"/>
    <n v="1"/>
    <n v="0"/>
    <n v="0"/>
    <n v="2"/>
    <n v="0"/>
    <m/>
    <n v="59.1"/>
  </r>
  <r>
    <x v="1113"/>
    <d v="2025-01-25T00:00:00"/>
    <x v="1"/>
    <x v="3"/>
    <x v="1"/>
    <x v="4"/>
    <s v="Free"/>
    <n v="1"/>
    <n v="1"/>
    <n v="1"/>
    <n v="1"/>
    <n v="416.94"/>
    <n v="1"/>
    <n v="0"/>
    <n v="11"/>
    <n v="67"/>
  </r>
  <r>
    <x v="1114"/>
    <d v="2025-02-06T00:00:00"/>
    <x v="1"/>
    <x v="1"/>
    <x v="1"/>
    <x v="3"/>
    <s v="Basic"/>
    <n v="1"/>
    <n v="0"/>
    <n v="0"/>
    <n v="0"/>
    <n v="0"/>
    <n v="0"/>
    <n v="0"/>
    <m/>
    <n v="47.9"/>
  </r>
  <r>
    <x v="1115"/>
    <d v="2025-03-10T00:00:00"/>
    <x v="1"/>
    <x v="2"/>
    <x v="1"/>
    <x v="2"/>
    <s v="Free"/>
    <n v="1"/>
    <n v="1"/>
    <n v="0"/>
    <n v="0"/>
    <n v="0"/>
    <n v="0"/>
    <n v="0"/>
    <m/>
    <n v="41.5"/>
  </r>
  <r>
    <x v="1116"/>
    <d v="2025-01-26T00:00:00"/>
    <x v="1"/>
    <x v="1"/>
    <x v="1"/>
    <x v="1"/>
    <s v="Basic"/>
    <n v="1"/>
    <n v="1"/>
    <n v="1"/>
    <n v="0"/>
    <n v="0"/>
    <n v="3"/>
    <n v="0"/>
    <m/>
    <n v="30.6"/>
  </r>
  <r>
    <x v="1117"/>
    <d v="2025-01-01T00:00:00"/>
    <x v="1"/>
    <x v="2"/>
    <x v="1"/>
    <x v="2"/>
    <s v="Free"/>
    <n v="1"/>
    <n v="1"/>
    <n v="0"/>
    <n v="0"/>
    <n v="0"/>
    <n v="0"/>
    <n v="0"/>
    <m/>
    <n v="91.5"/>
  </r>
  <r>
    <x v="1118"/>
    <d v="2025-04-28T00:00:00"/>
    <x v="1"/>
    <x v="0"/>
    <x v="0"/>
    <x v="4"/>
    <s v="Basic"/>
    <n v="1"/>
    <n v="0"/>
    <n v="0"/>
    <n v="0"/>
    <n v="0"/>
    <n v="0"/>
    <n v="0"/>
    <m/>
    <n v="80.8"/>
  </r>
  <r>
    <x v="1119"/>
    <d v="2025-04-04T00:00:00"/>
    <x v="1"/>
    <x v="0"/>
    <x v="1"/>
    <x v="1"/>
    <s v="Premium"/>
    <n v="1"/>
    <n v="0"/>
    <n v="0"/>
    <n v="0"/>
    <n v="0"/>
    <n v="0"/>
    <n v="0"/>
    <m/>
    <n v="68.099999999999994"/>
  </r>
  <r>
    <x v="1120"/>
    <d v="2025-03-02T00:00:00"/>
    <x v="1"/>
    <x v="2"/>
    <x v="1"/>
    <x v="2"/>
    <s v="Free"/>
    <n v="1"/>
    <n v="0"/>
    <n v="0"/>
    <n v="0"/>
    <n v="0"/>
    <n v="0"/>
    <n v="0"/>
    <m/>
    <n v="80.3"/>
  </r>
  <r>
    <x v="1121"/>
    <d v="2025-03-19T00:00:00"/>
    <x v="1"/>
    <x v="3"/>
    <x v="2"/>
    <x v="1"/>
    <s v="Basic"/>
    <n v="1"/>
    <n v="0"/>
    <n v="0"/>
    <n v="0"/>
    <n v="0"/>
    <n v="0"/>
    <n v="0"/>
    <m/>
    <n v="44.4"/>
  </r>
  <r>
    <x v="1122"/>
    <d v="2025-01-20T00:00:00"/>
    <x v="1"/>
    <x v="3"/>
    <x v="0"/>
    <x v="1"/>
    <s v="Basic"/>
    <n v="0"/>
    <n v="0"/>
    <n v="0"/>
    <n v="0"/>
    <n v="0"/>
    <n v="0"/>
    <n v="0"/>
    <m/>
    <n v="51.9"/>
  </r>
  <r>
    <x v="1123"/>
    <d v="2025-04-03T00:00:00"/>
    <x v="1"/>
    <x v="2"/>
    <x v="1"/>
    <x v="2"/>
    <s v="Free"/>
    <n v="1"/>
    <n v="1"/>
    <n v="0"/>
    <n v="0"/>
    <n v="0"/>
    <n v="0"/>
    <n v="0"/>
    <m/>
    <n v="49.8"/>
  </r>
  <r>
    <x v="1124"/>
    <d v="2025-01-11T00:00:00"/>
    <x v="1"/>
    <x v="2"/>
    <x v="0"/>
    <x v="4"/>
    <s v="Free"/>
    <n v="1"/>
    <n v="1"/>
    <n v="1"/>
    <n v="0"/>
    <n v="0"/>
    <n v="3"/>
    <n v="0"/>
    <m/>
    <n v="62.1"/>
  </r>
  <r>
    <x v="1125"/>
    <d v="2025-02-02T00:00:00"/>
    <x v="1"/>
    <x v="1"/>
    <x v="0"/>
    <x v="4"/>
    <s v="Basic"/>
    <n v="1"/>
    <n v="0"/>
    <n v="0"/>
    <n v="0"/>
    <n v="0"/>
    <n v="0"/>
    <n v="0"/>
    <m/>
    <n v="91.3"/>
  </r>
  <r>
    <x v="1126"/>
    <d v="2025-04-01T00:00:00"/>
    <x v="1"/>
    <x v="3"/>
    <x v="1"/>
    <x v="1"/>
    <s v="Basic"/>
    <n v="1"/>
    <n v="0"/>
    <n v="0"/>
    <n v="0"/>
    <n v="0"/>
    <n v="0"/>
    <n v="0"/>
    <m/>
    <n v="66.400000000000006"/>
  </r>
  <r>
    <x v="1127"/>
    <d v="2025-05-22T00:00:00"/>
    <x v="1"/>
    <x v="2"/>
    <x v="1"/>
    <x v="1"/>
    <s v="Basic"/>
    <n v="1"/>
    <n v="0"/>
    <n v="0"/>
    <n v="0"/>
    <n v="0"/>
    <n v="0"/>
    <n v="0"/>
    <m/>
    <n v="41.5"/>
  </r>
  <r>
    <x v="1128"/>
    <d v="2025-02-20T00:00:00"/>
    <x v="1"/>
    <x v="1"/>
    <x v="1"/>
    <x v="1"/>
    <s v="Basic"/>
    <n v="0"/>
    <n v="0"/>
    <n v="0"/>
    <n v="0"/>
    <n v="0"/>
    <n v="0"/>
    <n v="0"/>
    <m/>
    <n v="77.099999999999994"/>
  </r>
  <r>
    <x v="1129"/>
    <d v="2025-03-21T00:00:00"/>
    <x v="1"/>
    <x v="1"/>
    <x v="1"/>
    <x v="1"/>
    <s v="Free"/>
    <n v="1"/>
    <n v="0"/>
    <n v="0"/>
    <n v="0"/>
    <n v="0"/>
    <n v="0"/>
    <n v="0"/>
    <m/>
    <n v="63.2"/>
  </r>
  <r>
    <x v="1130"/>
    <d v="2025-05-01T00:00:00"/>
    <x v="1"/>
    <x v="1"/>
    <x v="0"/>
    <x v="3"/>
    <s v="Free"/>
    <n v="1"/>
    <n v="1"/>
    <n v="1"/>
    <n v="0"/>
    <n v="0"/>
    <n v="3"/>
    <n v="0"/>
    <m/>
    <n v="75.7"/>
  </r>
  <r>
    <x v="1131"/>
    <d v="2025-01-06T00:00:00"/>
    <x v="1"/>
    <x v="1"/>
    <x v="1"/>
    <x v="2"/>
    <s v="Basic"/>
    <n v="0"/>
    <n v="0"/>
    <n v="0"/>
    <n v="0"/>
    <n v="0"/>
    <n v="0"/>
    <n v="0"/>
    <m/>
    <n v="62.9"/>
  </r>
  <r>
    <x v="1132"/>
    <d v="2025-04-12T00:00:00"/>
    <x v="1"/>
    <x v="0"/>
    <x v="0"/>
    <x v="2"/>
    <s v="Premium"/>
    <n v="1"/>
    <n v="0"/>
    <n v="0"/>
    <n v="0"/>
    <n v="0"/>
    <n v="3"/>
    <n v="0"/>
    <m/>
    <n v="64.599999999999994"/>
  </r>
  <r>
    <x v="1133"/>
    <d v="2025-04-18T00:00:00"/>
    <x v="1"/>
    <x v="0"/>
    <x v="1"/>
    <x v="5"/>
    <s v="Basic"/>
    <n v="1"/>
    <n v="0"/>
    <n v="0"/>
    <n v="0"/>
    <n v="0"/>
    <n v="0"/>
    <n v="0"/>
    <m/>
    <n v="76.599999999999994"/>
  </r>
  <r>
    <x v="1134"/>
    <d v="2025-03-24T00:00:00"/>
    <x v="1"/>
    <x v="2"/>
    <x v="1"/>
    <x v="4"/>
    <s v="Basic"/>
    <n v="1"/>
    <n v="0"/>
    <n v="0"/>
    <n v="0"/>
    <n v="0"/>
    <n v="0"/>
    <n v="0"/>
    <m/>
    <n v="74.8"/>
  </r>
  <r>
    <x v="1135"/>
    <d v="2025-03-18T00:00:00"/>
    <x v="1"/>
    <x v="2"/>
    <x v="0"/>
    <x v="0"/>
    <s v="Premium"/>
    <n v="1"/>
    <n v="0"/>
    <n v="0"/>
    <n v="0"/>
    <n v="0"/>
    <n v="2"/>
    <n v="0"/>
    <m/>
    <n v="38.1"/>
  </r>
  <r>
    <x v="1136"/>
    <d v="2025-04-30T00:00:00"/>
    <x v="1"/>
    <x v="3"/>
    <x v="2"/>
    <x v="2"/>
    <s v="Basic"/>
    <n v="1"/>
    <n v="1"/>
    <n v="0"/>
    <n v="0"/>
    <n v="0"/>
    <n v="0"/>
    <n v="0"/>
    <m/>
    <n v="60.2"/>
  </r>
  <r>
    <x v="1137"/>
    <d v="2025-01-25T00:00:00"/>
    <x v="1"/>
    <x v="1"/>
    <x v="1"/>
    <x v="0"/>
    <s v="Free"/>
    <n v="1"/>
    <n v="1"/>
    <n v="0"/>
    <n v="0"/>
    <n v="0"/>
    <n v="0"/>
    <n v="0"/>
    <m/>
    <n v="73.5"/>
  </r>
  <r>
    <x v="1138"/>
    <d v="2025-04-10T00:00:00"/>
    <x v="1"/>
    <x v="3"/>
    <x v="1"/>
    <x v="1"/>
    <s v="Free"/>
    <n v="1"/>
    <n v="0"/>
    <n v="0"/>
    <n v="0"/>
    <n v="0"/>
    <n v="0"/>
    <n v="0"/>
    <m/>
    <n v="70.900000000000006"/>
  </r>
  <r>
    <x v="1139"/>
    <d v="2025-01-10T00:00:00"/>
    <x v="1"/>
    <x v="1"/>
    <x v="1"/>
    <x v="4"/>
    <s v="Free"/>
    <n v="1"/>
    <n v="0"/>
    <n v="0"/>
    <n v="0"/>
    <n v="0"/>
    <n v="0"/>
    <n v="0"/>
    <m/>
    <n v="63.7"/>
  </r>
  <r>
    <x v="1140"/>
    <d v="2025-02-11T00:00:00"/>
    <x v="1"/>
    <x v="3"/>
    <x v="1"/>
    <x v="2"/>
    <s v="Free"/>
    <n v="1"/>
    <n v="0"/>
    <n v="0"/>
    <n v="0"/>
    <n v="0"/>
    <n v="0"/>
    <n v="0"/>
    <m/>
    <n v="86.5"/>
  </r>
  <r>
    <x v="1141"/>
    <d v="2025-05-01T00:00:00"/>
    <x v="1"/>
    <x v="2"/>
    <x v="1"/>
    <x v="4"/>
    <s v="Basic"/>
    <n v="1"/>
    <n v="1"/>
    <n v="1"/>
    <n v="1"/>
    <n v="921.72"/>
    <n v="3"/>
    <n v="0"/>
    <n v="7"/>
    <n v="74.599999999999994"/>
  </r>
  <r>
    <x v="1142"/>
    <d v="2025-01-18T00:00:00"/>
    <x v="1"/>
    <x v="2"/>
    <x v="1"/>
    <x v="1"/>
    <s v="Free"/>
    <n v="1"/>
    <n v="0"/>
    <n v="0"/>
    <n v="0"/>
    <n v="0"/>
    <n v="0"/>
    <n v="0"/>
    <m/>
    <n v="46.6"/>
  </r>
  <r>
    <x v="1143"/>
    <d v="2025-01-02T00:00:00"/>
    <x v="1"/>
    <x v="0"/>
    <x v="1"/>
    <x v="2"/>
    <s v="Free"/>
    <n v="0"/>
    <n v="0"/>
    <n v="0"/>
    <n v="0"/>
    <n v="0"/>
    <n v="0"/>
    <n v="0"/>
    <m/>
    <n v="61.2"/>
  </r>
  <r>
    <x v="1144"/>
    <d v="2025-05-11T00:00:00"/>
    <x v="1"/>
    <x v="1"/>
    <x v="1"/>
    <x v="1"/>
    <s v="Free"/>
    <n v="1"/>
    <n v="1"/>
    <n v="1"/>
    <n v="1"/>
    <n v="290.39"/>
    <n v="0"/>
    <n v="0"/>
    <n v="4"/>
    <n v="54.4"/>
  </r>
  <r>
    <x v="1145"/>
    <d v="2025-03-22T00:00:00"/>
    <x v="1"/>
    <x v="0"/>
    <x v="1"/>
    <x v="3"/>
    <s v="Free"/>
    <n v="1"/>
    <n v="1"/>
    <n v="1"/>
    <n v="0"/>
    <n v="0"/>
    <n v="0"/>
    <n v="0"/>
    <m/>
    <n v="72"/>
  </r>
  <r>
    <x v="1146"/>
    <d v="2025-05-02T00:00:00"/>
    <x v="1"/>
    <x v="3"/>
    <x v="1"/>
    <x v="4"/>
    <s v="Premium"/>
    <n v="1"/>
    <n v="1"/>
    <n v="1"/>
    <n v="1"/>
    <n v="1858.85"/>
    <n v="0"/>
    <n v="0"/>
    <n v="8"/>
    <n v="88.6"/>
  </r>
  <r>
    <x v="1147"/>
    <d v="2025-05-26T00:00:00"/>
    <x v="1"/>
    <x v="2"/>
    <x v="0"/>
    <x v="5"/>
    <s v="Basic"/>
    <n v="1"/>
    <n v="0"/>
    <n v="0"/>
    <n v="0"/>
    <n v="0"/>
    <n v="0"/>
    <n v="0"/>
    <m/>
    <n v="77.599999999999994"/>
  </r>
  <r>
    <x v="1148"/>
    <d v="2025-03-13T00:00:00"/>
    <x v="1"/>
    <x v="3"/>
    <x v="1"/>
    <x v="1"/>
    <s v="Basic"/>
    <n v="1"/>
    <n v="0"/>
    <n v="0"/>
    <n v="0"/>
    <n v="0"/>
    <n v="1"/>
    <n v="0"/>
    <m/>
    <n v="44.3"/>
  </r>
  <r>
    <x v="1149"/>
    <d v="2025-05-17T00:00:00"/>
    <x v="1"/>
    <x v="3"/>
    <x v="0"/>
    <x v="2"/>
    <s v="Free"/>
    <n v="1"/>
    <n v="1"/>
    <n v="0"/>
    <n v="0"/>
    <n v="0"/>
    <n v="0"/>
    <n v="0"/>
    <m/>
    <n v="49"/>
  </r>
  <r>
    <x v="1150"/>
    <d v="2025-03-13T00:00:00"/>
    <x v="1"/>
    <x v="0"/>
    <x v="0"/>
    <x v="3"/>
    <s v="Premium"/>
    <n v="1"/>
    <n v="0"/>
    <n v="0"/>
    <n v="0"/>
    <n v="0"/>
    <n v="0"/>
    <n v="0"/>
    <m/>
    <n v="53.9"/>
  </r>
  <r>
    <x v="1151"/>
    <d v="2025-02-11T00:00:00"/>
    <x v="1"/>
    <x v="2"/>
    <x v="0"/>
    <x v="1"/>
    <s v="Basic"/>
    <n v="1"/>
    <n v="0"/>
    <n v="0"/>
    <n v="0"/>
    <n v="0"/>
    <n v="1"/>
    <n v="0"/>
    <m/>
    <n v="69"/>
  </r>
  <r>
    <x v="1152"/>
    <d v="2025-03-01T00:00:00"/>
    <x v="1"/>
    <x v="1"/>
    <x v="1"/>
    <x v="4"/>
    <s v="Free"/>
    <n v="0"/>
    <n v="0"/>
    <n v="0"/>
    <n v="0"/>
    <n v="0"/>
    <n v="0"/>
    <n v="0"/>
    <m/>
    <n v="37.4"/>
  </r>
  <r>
    <x v="1153"/>
    <d v="2025-04-15T00:00:00"/>
    <x v="1"/>
    <x v="1"/>
    <x v="1"/>
    <x v="1"/>
    <s v="Basic"/>
    <n v="0"/>
    <n v="0"/>
    <n v="0"/>
    <n v="0"/>
    <n v="0"/>
    <n v="0"/>
    <n v="0"/>
    <m/>
    <n v="59"/>
  </r>
  <r>
    <x v="1154"/>
    <d v="2025-02-02T00:00:00"/>
    <x v="1"/>
    <x v="2"/>
    <x v="1"/>
    <x v="1"/>
    <s v="Premium"/>
    <n v="1"/>
    <n v="0"/>
    <n v="0"/>
    <n v="0"/>
    <n v="0"/>
    <n v="0"/>
    <n v="0"/>
    <m/>
    <n v="60.8"/>
  </r>
  <r>
    <x v="1155"/>
    <d v="2025-05-19T00:00:00"/>
    <x v="1"/>
    <x v="3"/>
    <x v="1"/>
    <x v="0"/>
    <s v="Free"/>
    <n v="1"/>
    <n v="0"/>
    <n v="0"/>
    <n v="0"/>
    <n v="0"/>
    <n v="0"/>
    <n v="0"/>
    <m/>
    <n v="57.5"/>
  </r>
  <r>
    <x v="1156"/>
    <d v="2025-01-05T00:00:00"/>
    <x v="1"/>
    <x v="1"/>
    <x v="1"/>
    <x v="3"/>
    <s v="Free"/>
    <n v="0"/>
    <n v="0"/>
    <n v="0"/>
    <n v="0"/>
    <n v="0"/>
    <n v="0"/>
    <n v="0"/>
    <m/>
    <n v="84.2"/>
  </r>
  <r>
    <x v="1157"/>
    <d v="2025-03-08T00:00:00"/>
    <x v="1"/>
    <x v="3"/>
    <x v="1"/>
    <x v="2"/>
    <s v="Free"/>
    <n v="1"/>
    <n v="1"/>
    <n v="0"/>
    <n v="0"/>
    <n v="0"/>
    <n v="0"/>
    <n v="0"/>
    <m/>
    <n v="27.4"/>
  </r>
  <r>
    <x v="1158"/>
    <d v="2025-03-12T00:00:00"/>
    <x v="1"/>
    <x v="1"/>
    <x v="1"/>
    <x v="0"/>
    <s v="Basic"/>
    <n v="1"/>
    <n v="0"/>
    <n v="0"/>
    <n v="0"/>
    <n v="0"/>
    <n v="1"/>
    <n v="0"/>
    <m/>
    <n v="67.599999999999994"/>
  </r>
  <r>
    <x v="1159"/>
    <d v="2025-01-24T00:00:00"/>
    <x v="1"/>
    <x v="1"/>
    <x v="1"/>
    <x v="1"/>
    <s v="Free"/>
    <n v="0"/>
    <n v="0"/>
    <n v="0"/>
    <n v="0"/>
    <n v="0"/>
    <n v="0"/>
    <n v="0"/>
    <m/>
    <n v="68.400000000000006"/>
  </r>
  <r>
    <x v="1160"/>
    <d v="2025-05-22T00:00:00"/>
    <x v="1"/>
    <x v="3"/>
    <x v="1"/>
    <x v="2"/>
    <s v="Basic"/>
    <n v="1"/>
    <n v="1"/>
    <n v="1"/>
    <n v="0"/>
    <n v="0"/>
    <n v="0"/>
    <n v="0"/>
    <m/>
    <n v="66.5"/>
  </r>
  <r>
    <x v="1161"/>
    <d v="2025-03-27T00:00:00"/>
    <x v="1"/>
    <x v="3"/>
    <x v="1"/>
    <x v="2"/>
    <s v="Free"/>
    <n v="1"/>
    <n v="0"/>
    <n v="0"/>
    <n v="0"/>
    <n v="0"/>
    <n v="0"/>
    <n v="0"/>
    <m/>
    <n v="38.200000000000003"/>
  </r>
  <r>
    <x v="1162"/>
    <d v="2025-01-02T00:00:00"/>
    <x v="1"/>
    <x v="1"/>
    <x v="1"/>
    <x v="4"/>
    <s v="Free"/>
    <n v="0"/>
    <n v="0"/>
    <n v="0"/>
    <n v="0"/>
    <n v="0"/>
    <n v="1"/>
    <n v="0"/>
    <m/>
    <n v="66.7"/>
  </r>
  <r>
    <x v="1163"/>
    <d v="2025-02-24T00:00:00"/>
    <x v="1"/>
    <x v="0"/>
    <x v="1"/>
    <x v="2"/>
    <s v="Free"/>
    <n v="0"/>
    <n v="0"/>
    <n v="0"/>
    <n v="0"/>
    <n v="0"/>
    <n v="1"/>
    <n v="0"/>
    <m/>
    <n v="73.7"/>
  </r>
  <r>
    <x v="1164"/>
    <d v="2025-03-01T00:00:00"/>
    <x v="1"/>
    <x v="1"/>
    <x v="0"/>
    <x v="1"/>
    <s v="Basic"/>
    <n v="1"/>
    <n v="1"/>
    <n v="1"/>
    <n v="0"/>
    <n v="0"/>
    <n v="0"/>
    <n v="0"/>
    <m/>
    <n v="63.9"/>
  </r>
  <r>
    <x v="1165"/>
    <d v="2025-03-26T00:00:00"/>
    <x v="1"/>
    <x v="3"/>
    <x v="2"/>
    <x v="1"/>
    <s v="Basic"/>
    <n v="1"/>
    <n v="0"/>
    <n v="0"/>
    <n v="0"/>
    <n v="0"/>
    <n v="1"/>
    <n v="0"/>
    <m/>
    <n v="82.6"/>
  </r>
  <r>
    <x v="1166"/>
    <d v="2025-05-25T00:00:00"/>
    <x v="1"/>
    <x v="2"/>
    <x v="1"/>
    <x v="2"/>
    <s v="Free"/>
    <n v="0"/>
    <n v="0"/>
    <n v="0"/>
    <n v="0"/>
    <n v="0"/>
    <n v="1"/>
    <n v="0"/>
    <m/>
    <n v="58.3"/>
  </r>
  <r>
    <x v="1167"/>
    <d v="2025-02-25T00:00:00"/>
    <x v="1"/>
    <x v="1"/>
    <x v="1"/>
    <x v="3"/>
    <s v="Premium"/>
    <n v="1"/>
    <n v="1"/>
    <n v="1"/>
    <n v="1"/>
    <n v="1547.06"/>
    <n v="0"/>
    <n v="1"/>
    <n v="2"/>
    <n v="72.900000000000006"/>
  </r>
  <r>
    <x v="1168"/>
    <d v="2025-03-23T00:00:00"/>
    <x v="1"/>
    <x v="3"/>
    <x v="1"/>
    <x v="4"/>
    <s v="Free"/>
    <n v="1"/>
    <n v="1"/>
    <n v="1"/>
    <n v="0"/>
    <n v="0"/>
    <n v="2"/>
    <n v="0"/>
    <m/>
    <n v="53.5"/>
  </r>
  <r>
    <x v="1169"/>
    <d v="2025-04-21T00:00:00"/>
    <x v="1"/>
    <x v="1"/>
    <x v="1"/>
    <x v="3"/>
    <s v="Free"/>
    <n v="1"/>
    <n v="0"/>
    <n v="0"/>
    <n v="0"/>
    <n v="0"/>
    <n v="0"/>
    <n v="0"/>
    <m/>
    <n v="54.8"/>
  </r>
  <r>
    <x v="1170"/>
    <d v="2025-05-21T00:00:00"/>
    <x v="1"/>
    <x v="0"/>
    <x v="1"/>
    <x v="1"/>
    <s v="Premium"/>
    <n v="1"/>
    <n v="0"/>
    <n v="0"/>
    <n v="0"/>
    <n v="0"/>
    <n v="0"/>
    <n v="0"/>
    <m/>
    <n v="69.5"/>
  </r>
  <r>
    <x v="1171"/>
    <d v="2025-04-25T00:00:00"/>
    <x v="1"/>
    <x v="0"/>
    <x v="0"/>
    <x v="4"/>
    <s v="Free"/>
    <n v="1"/>
    <n v="0"/>
    <n v="0"/>
    <n v="0"/>
    <n v="0"/>
    <n v="1"/>
    <n v="0"/>
    <m/>
    <n v="71.3"/>
  </r>
  <r>
    <x v="1172"/>
    <d v="2025-05-23T00:00:00"/>
    <x v="1"/>
    <x v="1"/>
    <x v="1"/>
    <x v="3"/>
    <s v="Basic"/>
    <n v="1"/>
    <n v="0"/>
    <n v="0"/>
    <n v="0"/>
    <n v="0"/>
    <n v="1"/>
    <n v="0"/>
    <m/>
    <n v="57.5"/>
  </r>
  <r>
    <x v="1173"/>
    <d v="2025-03-18T00:00:00"/>
    <x v="1"/>
    <x v="3"/>
    <x v="1"/>
    <x v="0"/>
    <s v="Free"/>
    <n v="1"/>
    <n v="0"/>
    <n v="0"/>
    <n v="0"/>
    <n v="0"/>
    <n v="4"/>
    <n v="0"/>
    <m/>
    <n v="50.9"/>
  </r>
  <r>
    <x v="1174"/>
    <d v="2025-01-03T00:00:00"/>
    <x v="1"/>
    <x v="3"/>
    <x v="2"/>
    <x v="1"/>
    <s v="Free"/>
    <n v="1"/>
    <n v="1"/>
    <n v="1"/>
    <n v="0"/>
    <n v="0"/>
    <n v="0"/>
    <n v="0"/>
    <m/>
    <n v="69.3"/>
  </r>
  <r>
    <x v="1175"/>
    <d v="2025-02-08T00:00:00"/>
    <x v="1"/>
    <x v="1"/>
    <x v="0"/>
    <x v="1"/>
    <s v="Free"/>
    <n v="1"/>
    <n v="0"/>
    <n v="0"/>
    <n v="0"/>
    <n v="0"/>
    <n v="0"/>
    <n v="0"/>
    <m/>
    <n v="50.1"/>
  </r>
  <r>
    <x v="1176"/>
    <d v="2025-02-04T00:00:00"/>
    <x v="1"/>
    <x v="2"/>
    <x v="3"/>
    <x v="2"/>
    <s v="Basic"/>
    <n v="0"/>
    <n v="0"/>
    <n v="0"/>
    <n v="0"/>
    <n v="0"/>
    <n v="0"/>
    <n v="0"/>
    <m/>
    <n v="69.7"/>
  </r>
  <r>
    <x v="1177"/>
    <d v="2025-01-16T00:00:00"/>
    <x v="1"/>
    <x v="0"/>
    <x v="1"/>
    <x v="2"/>
    <s v="Free"/>
    <n v="0"/>
    <n v="0"/>
    <n v="0"/>
    <n v="0"/>
    <n v="0"/>
    <n v="0"/>
    <n v="0"/>
    <m/>
    <n v="63.5"/>
  </r>
  <r>
    <x v="1178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</r>
  <r>
    <x v="1179"/>
    <d v="2025-01-23T00:00:00"/>
    <x v="1"/>
    <x v="0"/>
    <x v="0"/>
    <x v="2"/>
    <s v="Free"/>
    <n v="0"/>
    <n v="0"/>
    <n v="0"/>
    <n v="0"/>
    <n v="0"/>
    <n v="0"/>
    <n v="0"/>
    <m/>
    <n v="58.9"/>
  </r>
  <r>
    <x v="1180"/>
    <d v="2025-03-22T00:00:00"/>
    <x v="1"/>
    <x v="3"/>
    <x v="0"/>
    <x v="2"/>
    <s v="Free"/>
    <n v="1"/>
    <n v="0"/>
    <n v="0"/>
    <n v="0"/>
    <n v="0"/>
    <n v="0"/>
    <n v="0"/>
    <m/>
    <n v="56.8"/>
  </r>
  <r>
    <x v="1181"/>
    <d v="2025-02-02T00:00:00"/>
    <x v="1"/>
    <x v="2"/>
    <x v="2"/>
    <x v="4"/>
    <s v="Premium"/>
    <n v="0"/>
    <n v="0"/>
    <n v="0"/>
    <n v="0"/>
    <n v="0"/>
    <n v="0"/>
    <n v="0"/>
    <m/>
    <n v="73.900000000000006"/>
  </r>
  <r>
    <x v="1182"/>
    <d v="2025-01-31T00:00:00"/>
    <x v="1"/>
    <x v="0"/>
    <x v="0"/>
    <x v="2"/>
    <s v="Free"/>
    <n v="0"/>
    <n v="0"/>
    <n v="0"/>
    <n v="0"/>
    <n v="0"/>
    <n v="0"/>
    <n v="0"/>
    <m/>
    <n v="76.3"/>
  </r>
  <r>
    <x v="1183"/>
    <d v="2025-05-27T00:00:00"/>
    <x v="1"/>
    <x v="1"/>
    <x v="1"/>
    <x v="1"/>
    <s v="Basic"/>
    <n v="1"/>
    <n v="0"/>
    <n v="0"/>
    <n v="0"/>
    <n v="0"/>
    <n v="0"/>
    <n v="0"/>
    <m/>
    <n v="56.9"/>
  </r>
  <r>
    <x v="1184"/>
    <d v="2025-05-07T00:00:00"/>
    <x v="1"/>
    <x v="0"/>
    <x v="1"/>
    <x v="1"/>
    <s v="Premium"/>
    <n v="1"/>
    <n v="0"/>
    <n v="0"/>
    <n v="0"/>
    <n v="0"/>
    <n v="2"/>
    <n v="0"/>
    <m/>
    <n v="49.4"/>
  </r>
  <r>
    <x v="1185"/>
    <d v="2025-05-08T00:00:00"/>
    <x v="1"/>
    <x v="0"/>
    <x v="0"/>
    <x v="2"/>
    <s v="Basic"/>
    <n v="1"/>
    <n v="0"/>
    <n v="0"/>
    <n v="0"/>
    <n v="0"/>
    <n v="0"/>
    <n v="0"/>
    <m/>
    <n v="86.7"/>
  </r>
  <r>
    <x v="1186"/>
    <d v="2025-01-15T00:00:00"/>
    <x v="1"/>
    <x v="1"/>
    <x v="0"/>
    <x v="0"/>
    <s v="Free"/>
    <n v="1"/>
    <n v="0"/>
    <n v="0"/>
    <n v="0"/>
    <n v="0"/>
    <n v="3"/>
    <n v="0"/>
    <m/>
    <n v="69"/>
  </r>
  <r>
    <x v="1187"/>
    <d v="2025-01-18T00:00:00"/>
    <x v="1"/>
    <x v="0"/>
    <x v="1"/>
    <x v="2"/>
    <s v="Free"/>
    <n v="0"/>
    <n v="0"/>
    <n v="0"/>
    <n v="0"/>
    <n v="0"/>
    <n v="0"/>
    <n v="0"/>
    <m/>
    <n v="84.5"/>
  </r>
  <r>
    <x v="1188"/>
    <d v="2025-04-16T00:00:00"/>
    <x v="1"/>
    <x v="2"/>
    <x v="3"/>
    <x v="3"/>
    <s v="Free"/>
    <n v="1"/>
    <n v="0"/>
    <n v="0"/>
    <n v="0"/>
    <n v="0"/>
    <n v="0"/>
    <n v="0"/>
    <m/>
    <n v="66.3"/>
  </r>
  <r>
    <x v="1189"/>
    <d v="2025-02-16T00:00:00"/>
    <x v="1"/>
    <x v="2"/>
    <x v="0"/>
    <x v="2"/>
    <s v="Free"/>
    <n v="0"/>
    <n v="0"/>
    <n v="0"/>
    <n v="0"/>
    <n v="0"/>
    <n v="0"/>
    <n v="0"/>
    <m/>
    <n v="52.2"/>
  </r>
  <r>
    <x v="1190"/>
    <d v="2025-04-17T00:00:00"/>
    <x v="1"/>
    <x v="3"/>
    <x v="0"/>
    <x v="3"/>
    <s v="Premium"/>
    <n v="1"/>
    <n v="1"/>
    <n v="1"/>
    <n v="0"/>
    <n v="0"/>
    <n v="0"/>
    <n v="0"/>
    <m/>
    <n v="81.2"/>
  </r>
  <r>
    <x v="1191"/>
    <d v="2025-04-30T00:00:00"/>
    <x v="1"/>
    <x v="3"/>
    <x v="1"/>
    <x v="1"/>
    <s v="Basic"/>
    <n v="0"/>
    <n v="0"/>
    <n v="0"/>
    <n v="0"/>
    <n v="0"/>
    <n v="0"/>
    <n v="0"/>
    <m/>
    <n v="53.9"/>
  </r>
  <r>
    <x v="1192"/>
    <d v="2025-01-29T00:00:00"/>
    <x v="1"/>
    <x v="1"/>
    <x v="1"/>
    <x v="4"/>
    <s v="Premium"/>
    <n v="0"/>
    <n v="0"/>
    <n v="0"/>
    <n v="0"/>
    <n v="0"/>
    <n v="0"/>
    <n v="0"/>
    <m/>
    <n v="39.1"/>
  </r>
  <r>
    <x v="1193"/>
    <d v="2025-01-11T00:00:00"/>
    <x v="1"/>
    <x v="0"/>
    <x v="1"/>
    <x v="4"/>
    <s v="Basic"/>
    <n v="0"/>
    <n v="0"/>
    <n v="0"/>
    <n v="0"/>
    <n v="0"/>
    <n v="0"/>
    <n v="0"/>
    <m/>
    <n v="57.3"/>
  </r>
  <r>
    <x v="1194"/>
    <d v="2025-04-08T00:00:00"/>
    <x v="1"/>
    <x v="2"/>
    <x v="0"/>
    <x v="2"/>
    <s v="Premium"/>
    <n v="1"/>
    <n v="0"/>
    <n v="0"/>
    <n v="0"/>
    <n v="0"/>
    <n v="1"/>
    <n v="0"/>
    <m/>
    <n v="65.900000000000006"/>
  </r>
  <r>
    <x v="1195"/>
    <d v="2025-02-22T00:00:00"/>
    <x v="1"/>
    <x v="0"/>
    <x v="3"/>
    <x v="4"/>
    <s v="Free"/>
    <n v="1"/>
    <n v="0"/>
    <n v="0"/>
    <n v="0"/>
    <n v="0"/>
    <n v="1"/>
    <n v="0"/>
    <m/>
    <n v="34.200000000000003"/>
  </r>
  <r>
    <x v="1196"/>
    <d v="2025-03-23T00:00:00"/>
    <x v="1"/>
    <x v="3"/>
    <x v="1"/>
    <x v="1"/>
    <s v="Free"/>
    <n v="0"/>
    <n v="0"/>
    <n v="0"/>
    <n v="0"/>
    <n v="0"/>
    <n v="0"/>
    <n v="0"/>
    <m/>
    <n v="47.2"/>
  </r>
  <r>
    <x v="1197"/>
    <d v="2025-05-23T00:00:00"/>
    <x v="1"/>
    <x v="3"/>
    <x v="2"/>
    <x v="2"/>
    <s v="Free"/>
    <n v="1"/>
    <n v="0"/>
    <n v="0"/>
    <n v="0"/>
    <n v="0"/>
    <n v="1"/>
    <n v="0"/>
    <m/>
    <n v="55"/>
  </r>
  <r>
    <x v="1198"/>
    <d v="2025-04-27T00:00:00"/>
    <x v="1"/>
    <x v="1"/>
    <x v="1"/>
    <x v="3"/>
    <s v="Basic"/>
    <n v="1"/>
    <n v="1"/>
    <n v="1"/>
    <n v="0"/>
    <n v="0"/>
    <n v="0"/>
    <n v="0"/>
    <m/>
    <n v="76.400000000000006"/>
  </r>
  <r>
    <x v="1199"/>
    <d v="2025-05-26T00:00:00"/>
    <x v="1"/>
    <x v="0"/>
    <x v="1"/>
    <x v="3"/>
    <s v="Free"/>
    <n v="1"/>
    <n v="0"/>
    <n v="0"/>
    <n v="0"/>
    <n v="0"/>
    <n v="0"/>
    <n v="0"/>
    <m/>
    <n v="70.8"/>
  </r>
  <r>
    <x v="1200"/>
    <d v="2025-03-06T00:00:00"/>
    <x v="1"/>
    <x v="2"/>
    <x v="1"/>
    <x v="2"/>
    <s v="Basic"/>
    <n v="1"/>
    <n v="1"/>
    <n v="0"/>
    <n v="0"/>
    <n v="0"/>
    <n v="1"/>
    <n v="0"/>
    <m/>
    <n v="58"/>
  </r>
  <r>
    <x v="1201"/>
    <d v="2025-04-03T00:00:00"/>
    <x v="1"/>
    <x v="1"/>
    <x v="1"/>
    <x v="1"/>
    <s v="Basic"/>
    <n v="1"/>
    <n v="1"/>
    <n v="1"/>
    <n v="0"/>
    <n v="0"/>
    <n v="1"/>
    <n v="0"/>
    <m/>
    <n v="70.8"/>
  </r>
  <r>
    <x v="1202"/>
    <d v="2025-02-01T00:00:00"/>
    <x v="1"/>
    <x v="2"/>
    <x v="0"/>
    <x v="2"/>
    <s v="Free"/>
    <n v="1"/>
    <n v="0"/>
    <n v="0"/>
    <n v="0"/>
    <n v="0"/>
    <n v="3"/>
    <n v="0"/>
    <m/>
    <n v="60"/>
  </r>
  <r>
    <x v="1203"/>
    <d v="2025-05-01T00:00:00"/>
    <x v="1"/>
    <x v="1"/>
    <x v="1"/>
    <x v="3"/>
    <s v="Premium"/>
    <n v="1"/>
    <n v="1"/>
    <n v="1"/>
    <n v="0"/>
    <n v="0"/>
    <n v="3"/>
    <n v="0"/>
    <m/>
    <n v="58.1"/>
  </r>
  <r>
    <x v="1204"/>
    <d v="2025-04-13T00:00:00"/>
    <x v="1"/>
    <x v="0"/>
    <x v="1"/>
    <x v="4"/>
    <s v="Premium"/>
    <n v="0"/>
    <n v="0"/>
    <n v="0"/>
    <n v="0"/>
    <n v="0"/>
    <n v="0"/>
    <n v="0"/>
    <m/>
    <n v="59.7"/>
  </r>
  <r>
    <x v="1205"/>
    <d v="2025-01-25T00:00:00"/>
    <x v="1"/>
    <x v="2"/>
    <x v="1"/>
    <x v="4"/>
    <s v="Free"/>
    <n v="0"/>
    <n v="0"/>
    <n v="0"/>
    <n v="0"/>
    <n v="0"/>
    <n v="0"/>
    <n v="0"/>
    <m/>
    <n v="47.7"/>
  </r>
  <r>
    <x v="1206"/>
    <d v="2025-03-17T00:00:00"/>
    <x v="1"/>
    <x v="0"/>
    <x v="1"/>
    <x v="1"/>
    <s v="Free"/>
    <n v="0"/>
    <n v="0"/>
    <n v="0"/>
    <n v="0"/>
    <n v="0"/>
    <n v="0"/>
    <n v="0"/>
    <m/>
    <n v="59.1"/>
  </r>
  <r>
    <x v="1207"/>
    <d v="2025-02-21T00:00:00"/>
    <x v="1"/>
    <x v="1"/>
    <x v="0"/>
    <x v="4"/>
    <s v="Basic"/>
    <n v="1"/>
    <n v="0"/>
    <n v="0"/>
    <n v="0"/>
    <n v="0"/>
    <n v="1"/>
    <n v="0"/>
    <m/>
    <n v="68.7"/>
  </r>
  <r>
    <x v="1208"/>
    <d v="2025-04-08T00:00:00"/>
    <x v="1"/>
    <x v="2"/>
    <x v="2"/>
    <x v="1"/>
    <s v="Basic"/>
    <n v="0"/>
    <n v="0"/>
    <n v="0"/>
    <n v="0"/>
    <n v="0"/>
    <n v="0"/>
    <n v="0"/>
    <m/>
    <n v="34.700000000000003"/>
  </r>
  <r>
    <x v="1209"/>
    <d v="2025-02-24T00:00:00"/>
    <x v="1"/>
    <x v="1"/>
    <x v="1"/>
    <x v="1"/>
    <s v="Basic"/>
    <n v="1"/>
    <n v="0"/>
    <n v="0"/>
    <n v="0"/>
    <n v="0"/>
    <n v="0"/>
    <n v="0"/>
    <m/>
    <n v="62"/>
  </r>
  <r>
    <x v="1210"/>
    <d v="2025-05-29T00:00:00"/>
    <x v="1"/>
    <x v="3"/>
    <x v="1"/>
    <x v="1"/>
    <s v="Free"/>
    <n v="1"/>
    <n v="1"/>
    <n v="0"/>
    <n v="0"/>
    <n v="0"/>
    <n v="0"/>
    <n v="0"/>
    <m/>
    <n v="56"/>
  </r>
  <r>
    <x v="1211"/>
    <d v="2025-05-30T00:00:00"/>
    <x v="1"/>
    <x v="0"/>
    <x v="1"/>
    <x v="0"/>
    <s v="Basic"/>
    <n v="1"/>
    <n v="0"/>
    <n v="0"/>
    <n v="0"/>
    <n v="0"/>
    <n v="1"/>
    <n v="0"/>
    <m/>
    <n v="65.8"/>
  </r>
  <r>
    <x v="1212"/>
    <d v="2025-01-24T00:00:00"/>
    <x v="1"/>
    <x v="0"/>
    <x v="0"/>
    <x v="1"/>
    <s v="Premium"/>
    <n v="0"/>
    <n v="0"/>
    <n v="0"/>
    <n v="0"/>
    <n v="0"/>
    <n v="0"/>
    <n v="0"/>
    <m/>
    <n v="54.7"/>
  </r>
  <r>
    <x v="1213"/>
    <d v="2025-05-12T00:00:00"/>
    <x v="1"/>
    <x v="3"/>
    <x v="1"/>
    <x v="1"/>
    <s v="Basic"/>
    <n v="1"/>
    <n v="1"/>
    <n v="0"/>
    <n v="0"/>
    <n v="0"/>
    <n v="0"/>
    <n v="0"/>
    <m/>
    <n v="64.099999999999994"/>
  </r>
  <r>
    <x v="1214"/>
    <d v="2025-03-28T00:00:00"/>
    <x v="1"/>
    <x v="3"/>
    <x v="1"/>
    <x v="1"/>
    <s v="Basic"/>
    <n v="1"/>
    <n v="1"/>
    <n v="1"/>
    <n v="0"/>
    <n v="0"/>
    <n v="0"/>
    <n v="0"/>
    <m/>
    <n v="71.599999999999994"/>
  </r>
  <r>
    <x v="1215"/>
    <d v="2025-04-14T00:00:00"/>
    <x v="1"/>
    <x v="0"/>
    <x v="1"/>
    <x v="3"/>
    <s v="Basic"/>
    <n v="1"/>
    <n v="0"/>
    <n v="0"/>
    <n v="0"/>
    <n v="0"/>
    <n v="0"/>
    <n v="0"/>
    <m/>
    <n v="78.400000000000006"/>
  </r>
  <r>
    <x v="1216"/>
    <d v="2025-01-28T00:00:00"/>
    <x v="1"/>
    <x v="2"/>
    <x v="2"/>
    <x v="3"/>
    <s v="Basic"/>
    <n v="0"/>
    <n v="0"/>
    <n v="0"/>
    <n v="0"/>
    <n v="0"/>
    <n v="0"/>
    <n v="0"/>
    <m/>
    <n v="49.3"/>
  </r>
  <r>
    <x v="1217"/>
    <d v="2025-05-21T00:00:00"/>
    <x v="1"/>
    <x v="0"/>
    <x v="1"/>
    <x v="1"/>
    <s v="Basic"/>
    <n v="0"/>
    <n v="0"/>
    <n v="0"/>
    <n v="0"/>
    <n v="0"/>
    <n v="0"/>
    <n v="0"/>
    <m/>
    <n v="52.8"/>
  </r>
  <r>
    <x v="1218"/>
    <d v="2025-05-11T00:00:00"/>
    <x v="1"/>
    <x v="1"/>
    <x v="0"/>
    <x v="1"/>
    <s v="Free"/>
    <n v="0"/>
    <n v="0"/>
    <n v="0"/>
    <n v="0"/>
    <n v="0"/>
    <n v="0"/>
    <n v="0"/>
    <m/>
    <n v="58.5"/>
  </r>
  <r>
    <x v="1219"/>
    <d v="2025-02-02T00:00:00"/>
    <x v="1"/>
    <x v="3"/>
    <x v="1"/>
    <x v="2"/>
    <s v="Free"/>
    <n v="1"/>
    <n v="0"/>
    <n v="0"/>
    <n v="0"/>
    <n v="0"/>
    <n v="0"/>
    <n v="0"/>
    <m/>
    <n v="55.9"/>
  </r>
  <r>
    <x v="1220"/>
    <d v="2025-02-26T00:00:00"/>
    <x v="1"/>
    <x v="0"/>
    <x v="1"/>
    <x v="4"/>
    <s v="Free"/>
    <n v="1"/>
    <n v="1"/>
    <n v="1"/>
    <n v="1"/>
    <n v="351.43"/>
    <n v="1"/>
    <n v="0"/>
    <n v="6"/>
    <n v="74.900000000000006"/>
  </r>
  <r>
    <x v="1221"/>
    <d v="2025-02-27T00:00:00"/>
    <x v="1"/>
    <x v="3"/>
    <x v="0"/>
    <x v="3"/>
    <s v="Free"/>
    <n v="1"/>
    <n v="1"/>
    <n v="1"/>
    <n v="1"/>
    <n v="352.42"/>
    <n v="0"/>
    <n v="0"/>
    <n v="4"/>
    <n v="58.5"/>
  </r>
  <r>
    <x v="1222"/>
    <d v="2025-03-09T00:00:00"/>
    <x v="1"/>
    <x v="1"/>
    <x v="1"/>
    <x v="1"/>
    <s v="Free"/>
    <n v="0"/>
    <n v="0"/>
    <n v="0"/>
    <n v="0"/>
    <n v="0"/>
    <n v="0"/>
    <n v="0"/>
    <m/>
    <n v="63.5"/>
  </r>
  <r>
    <x v="1223"/>
    <d v="2025-02-07T00:00:00"/>
    <x v="1"/>
    <x v="0"/>
    <x v="1"/>
    <x v="2"/>
    <s v="Basic"/>
    <n v="1"/>
    <n v="0"/>
    <n v="0"/>
    <n v="0"/>
    <n v="0"/>
    <n v="1"/>
    <n v="0"/>
    <m/>
    <n v="64.8"/>
  </r>
  <r>
    <x v="1224"/>
    <d v="2025-01-31T00:00:00"/>
    <x v="1"/>
    <x v="1"/>
    <x v="1"/>
    <x v="4"/>
    <s v="Free"/>
    <n v="0"/>
    <n v="0"/>
    <n v="0"/>
    <n v="0"/>
    <n v="0"/>
    <n v="0"/>
    <n v="0"/>
    <m/>
    <n v="63.3"/>
  </r>
  <r>
    <x v="1225"/>
    <d v="2025-02-14T00:00:00"/>
    <x v="1"/>
    <x v="0"/>
    <x v="2"/>
    <x v="2"/>
    <s v="Basic"/>
    <n v="1"/>
    <n v="1"/>
    <n v="1"/>
    <n v="1"/>
    <n v="1074.1600000000001"/>
    <n v="0"/>
    <n v="0"/>
    <n v="8"/>
    <n v="83.7"/>
  </r>
  <r>
    <x v="1226"/>
    <d v="2025-02-12T00:00:00"/>
    <x v="1"/>
    <x v="3"/>
    <x v="0"/>
    <x v="4"/>
    <s v="Basic"/>
    <n v="0"/>
    <n v="0"/>
    <n v="0"/>
    <n v="0"/>
    <n v="0"/>
    <n v="0"/>
    <n v="0"/>
    <m/>
    <n v="88.7"/>
  </r>
  <r>
    <x v="1227"/>
    <d v="2025-03-23T00:00:00"/>
    <x v="1"/>
    <x v="2"/>
    <x v="3"/>
    <x v="2"/>
    <s v="Free"/>
    <n v="1"/>
    <n v="0"/>
    <n v="0"/>
    <n v="0"/>
    <n v="0"/>
    <n v="1"/>
    <n v="0"/>
    <m/>
    <n v="61.5"/>
  </r>
  <r>
    <x v="1228"/>
    <d v="2025-03-18T00:00:00"/>
    <x v="1"/>
    <x v="1"/>
    <x v="1"/>
    <x v="2"/>
    <s v="Free"/>
    <n v="0"/>
    <n v="0"/>
    <n v="0"/>
    <n v="0"/>
    <n v="0"/>
    <n v="0"/>
    <n v="0"/>
    <m/>
    <n v="45.3"/>
  </r>
  <r>
    <x v="1229"/>
    <d v="2025-05-17T00:00:00"/>
    <x v="1"/>
    <x v="0"/>
    <x v="1"/>
    <x v="4"/>
    <s v="Free"/>
    <n v="1"/>
    <n v="0"/>
    <n v="0"/>
    <n v="0"/>
    <n v="0"/>
    <n v="0"/>
    <n v="0"/>
    <m/>
    <n v="37.299999999999997"/>
  </r>
  <r>
    <x v="1230"/>
    <d v="2025-03-26T00:00:00"/>
    <x v="1"/>
    <x v="1"/>
    <x v="0"/>
    <x v="4"/>
    <s v="Premium"/>
    <n v="1"/>
    <n v="0"/>
    <n v="0"/>
    <n v="0"/>
    <n v="0"/>
    <n v="1"/>
    <n v="0"/>
    <m/>
    <n v="76.099999999999994"/>
  </r>
  <r>
    <x v="1231"/>
    <d v="2025-03-30T00:00:00"/>
    <x v="1"/>
    <x v="2"/>
    <x v="1"/>
    <x v="1"/>
    <s v="Free"/>
    <n v="1"/>
    <n v="1"/>
    <n v="1"/>
    <n v="0"/>
    <n v="0"/>
    <n v="1"/>
    <n v="0"/>
    <m/>
    <n v="72.5"/>
  </r>
  <r>
    <x v="1232"/>
    <d v="2025-02-25T00:00:00"/>
    <x v="1"/>
    <x v="2"/>
    <x v="0"/>
    <x v="1"/>
    <s v="Free"/>
    <n v="1"/>
    <n v="0"/>
    <n v="0"/>
    <n v="0"/>
    <n v="0"/>
    <n v="0"/>
    <n v="0"/>
    <m/>
    <n v="62.3"/>
  </r>
  <r>
    <x v="1233"/>
    <d v="2025-03-01T00:00:00"/>
    <x v="1"/>
    <x v="2"/>
    <x v="0"/>
    <x v="4"/>
    <s v="Free"/>
    <n v="0"/>
    <n v="0"/>
    <n v="0"/>
    <n v="0"/>
    <n v="0"/>
    <n v="0"/>
    <n v="0"/>
    <m/>
    <n v="62.7"/>
  </r>
  <r>
    <x v="1234"/>
    <d v="2025-05-27T00:00:00"/>
    <x v="1"/>
    <x v="0"/>
    <x v="1"/>
    <x v="2"/>
    <s v="Basic"/>
    <n v="0"/>
    <n v="0"/>
    <n v="0"/>
    <n v="0"/>
    <n v="0"/>
    <n v="0"/>
    <n v="0"/>
    <m/>
    <n v="82.4"/>
  </r>
  <r>
    <x v="1235"/>
    <d v="2025-02-05T00:00:00"/>
    <x v="1"/>
    <x v="1"/>
    <x v="1"/>
    <x v="5"/>
    <s v="Premium"/>
    <n v="1"/>
    <n v="0"/>
    <n v="0"/>
    <n v="0"/>
    <n v="0"/>
    <n v="0"/>
    <n v="0"/>
    <m/>
    <n v="78.900000000000006"/>
  </r>
  <r>
    <x v="1236"/>
    <d v="2025-01-25T00:00:00"/>
    <x v="1"/>
    <x v="1"/>
    <x v="0"/>
    <x v="0"/>
    <s v="Free"/>
    <n v="1"/>
    <n v="1"/>
    <n v="1"/>
    <n v="1"/>
    <n v="618.91"/>
    <n v="0"/>
    <n v="0"/>
    <n v="4"/>
    <n v="67.8"/>
  </r>
  <r>
    <x v="1237"/>
    <d v="2025-04-10T00:00:00"/>
    <x v="1"/>
    <x v="2"/>
    <x v="1"/>
    <x v="1"/>
    <s v="Premium"/>
    <n v="1"/>
    <n v="0"/>
    <n v="0"/>
    <n v="0"/>
    <n v="0"/>
    <n v="0"/>
    <n v="0"/>
    <m/>
    <n v="68.8"/>
  </r>
  <r>
    <x v="1238"/>
    <d v="2025-01-10T00:00:00"/>
    <x v="1"/>
    <x v="2"/>
    <x v="1"/>
    <x v="1"/>
    <s v="Premium"/>
    <n v="1"/>
    <n v="0"/>
    <n v="0"/>
    <n v="0"/>
    <n v="0"/>
    <n v="0"/>
    <n v="0"/>
    <m/>
    <n v="67.7"/>
  </r>
  <r>
    <x v="1239"/>
    <d v="2025-02-23T00:00:00"/>
    <x v="1"/>
    <x v="2"/>
    <x v="1"/>
    <x v="5"/>
    <s v="Free"/>
    <n v="0"/>
    <n v="0"/>
    <n v="0"/>
    <n v="0"/>
    <n v="0"/>
    <n v="0"/>
    <n v="0"/>
    <m/>
    <n v="88"/>
  </r>
  <r>
    <x v="1240"/>
    <d v="2025-05-23T00:00:00"/>
    <x v="1"/>
    <x v="1"/>
    <x v="0"/>
    <x v="1"/>
    <s v="Basic"/>
    <n v="1"/>
    <n v="1"/>
    <n v="0"/>
    <n v="0"/>
    <n v="0"/>
    <n v="0"/>
    <n v="0"/>
    <m/>
    <n v="80.099999999999994"/>
  </r>
  <r>
    <x v="1241"/>
    <d v="2025-03-08T00:00:00"/>
    <x v="1"/>
    <x v="0"/>
    <x v="2"/>
    <x v="0"/>
    <s v="Basic"/>
    <n v="0"/>
    <n v="0"/>
    <n v="0"/>
    <n v="0"/>
    <n v="0"/>
    <n v="1"/>
    <n v="0"/>
    <m/>
    <n v="48.2"/>
  </r>
  <r>
    <x v="1242"/>
    <d v="2025-05-21T00:00:00"/>
    <x v="1"/>
    <x v="2"/>
    <x v="1"/>
    <x v="1"/>
    <s v="Basic"/>
    <n v="1"/>
    <n v="0"/>
    <n v="0"/>
    <n v="0"/>
    <n v="0"/>
    <n v="0"/>
    <n v="0"/>
    <m/>
    <n v="52.7"/>
  </r>
  <r>
    <x v="1243"/>
    <d v="2025-04-22T00:00:00"/>
    <x v="1"/>
    <x v="0"/>
    <x v="1"/>
    <x v="0"/>
    <s v="Basic"/>
    <n v="1"/>
    <n v="1"/>
    <n v="0"/>
    <n v="0"/>
    <n v="0"/>
    <n v="0"/>
    <n v="0"/>
    <m/>
    <n v="59.9"/>
  </r>
  <r>
    <x v="1244"/>
    <d v="2025-04-16T00:00:00"/>
    <x v="1"/>
    <x v="0"/>
    <x v="1"/>
    <x v="0"/>
    <s v="Premium"/>
    <n v="1"/>
    <n v="0"/>
    <n v="0"/>
    <n v="0"/>
    <n v="0"/>
    <n v="0"/>
    <n v="0"/>
    <m/>
    <n v="49.5"/>
  </r>
  <r>
    <x v="1245"/>
    <d v="2025-05-08T00:00:00"/>
    <x v="1"/>
    <x v="0"/>
    <x v="2"/>
    <x v="1"/>
    <s v="Free"/>
    <n v="1"/>
    <n v="0"/>
    <n v="0"/>
    <n v="0"/>
    <n v="0"/>
    <n v="0"/>
    <n v="0"/>
    <m/>
    <n v="41.5"/>
  </r>
  <r>
    <x v="1246"/>
    <d v="2025-05-22T00:00:00"/>
    <x v="1"/>
    <x v="0"/>
    <x v="1"/>
    <x v="2"/>
    <s v="Basic"/>
    <n v="1"/>
    <n v="0"/>
    <n v="0"/>
    <n v="0"/>
    <n v="0"/>
    <n v="0"/>
    <n v="0"/>
    <m/>
    <n v="71.2"/>
  </r>
  <r>
    <x v="1247"/>
    <d v="2025-03-21T00:00:00"/>
    <x v="1"/>
    <x v="0"/>
    <x v="1"/>
    <x v="3"/>
    <s v="Basic"/>
    <n v="1"/>
    <n v="1"/>
    <n v="1"/>
    <n v="0"/>
    <n v="0"/>
    <n v="0"/>
    <n v="0"/>
    <m/>
    <n v="65.8"/>
  </r>
  <r>
    <x v="1248"/>
    <d v="2025-03-22T00:00:00"/>
    <x v="1"/>
    <x v="2"/>
    <x v="1"/>
    <x v="1"/>
    <s v="Basic"/>
    <n v="1"/>
    <n v="0"/>
    <n v="0"/>
    <n v="0"/>
    <n v="0"/>
    <n v="1"/>
    <n v="0"/>
    <m/>
    <n v="55.1"/>
  </r>
  <r>
    <x v="1249"/>
    <d v="2025-01-10T00:00:00"/>
    <x v="1"/>
    <x v="1"/>
    <x v="0"/>
    <x v="4"/>
    <s v="Free"/>
    <n v="1"/>
    <n v="0"/>
    <n v="0"/>
    <n v="0"/>
    <n v="0"/>
    <n v="0"/>
    <n v="0"/>
    <m/>
    <n v="54.6"/>
  </r>
  <r>
    <x v="1250"/>
    <d v="2025-02-01T00:00:00"/>
    <x v="1"/>
    <x v="2"/>
    <x v="1"/>
    <x v="1"/>
    <s v="Basic"/>
    <n v="1"/>
    <n v="1"/>
    <n v="1"/>
    <n v="1"/>
    <n v="923.67"/>
    <n v="0"/>
    <n v="0"/>
    <n v="4"/>
    <n v="81.900000000000006"/>
  </r>
  <r>
    <x v="1251"/>
    <d v="2025-03-31T00:00:00"/>
    <x v="1"/>
    <x v="3"/>
    <x v="1"/>
    <x v="2"/>
    <s v="Basic"/>
    <n v="1"/>
    <n v="1"/>
    <n v="0"/>
    <n v="0"/>
    <n v="0"/>
    <n v="3"/>
    <n v="0"/>
    <m/>
    <n v="63.2"/>
  </r>
  <r>
    <x v="1252"/>
    <d v="2025-04-25T00:00:00"/>
    <x v="1"/>
    <x v="0"/>
    <x v="1"/>
    <x v="2"/>
    <s v="Free"/>
    <n v="1"/>
    <n v="0"/>
    <n v="0"/>
    <n v="0"/>
    <n v="0"/>
    <n v="0"/>
    <n v="0"/>
    <m/>
    <n v="55.4"/>
  </r>
  <r>
    <x v="1253"/>
    <d v="2025-05-02T00:00:00"/>
    <x v="1"/>
    <x v="1"/>
    <x v="1"/>
    <x v="4"/>
    <s v="Basic"/>
    <n v="0"/>
    <n v="0"/>
    <n v="0"/>
    <n v="0"/>
    <n v="0"/>
    <n v="0"/>
    <n v="0"/>
    <m/>
    <n v="87.5"/>
  </r>
  <r>
    <x v="1254"/>
    <d v="2025-03-08T00:00:00"/>
    <x v="1"/>
    <x v="3"/>
    <x v="0"/>
    <x v="4"/>
    <s v="Basic"/>
    <n v="1"/>
    <n v="0"/>
    <n v="0"/>
    <n v="0"/>
    <n v="0"/>
    <n v="0"/>
    <n v="0"/>
    <m/>
    <n v="48.5"/>
  </r>
  <r>
    <x v="1255"/>
    <d v="2025-01-27T00:00:00"/>
    <x v="1"/>
    <x v="2"/>
    <x v="0"/>
    <x v="5"/>
    <s v="Free"/>
    <n v="1"/>
    <n v="1"/>
    <n v="1"/>
    <n v="1"/>
    <n v="420.27"/>
    <n v="0"/>
    <n v="0"/>
    <n v="6"/>
    <n v="58.4"/>
  </r>
  <r>
    <x v="1256"/>
    <d v="2025-04-27T00:00:00"/>
    <x v="1"/>
    <x v="1"/>
    <x v="1"/>
    <x v="2"/>
    <s v="Free"/>
    <n v="0"/>
    <n v="0"/>
    <n v="0"/>
    <n v="0"/>
    <n v="0"/>
    <n v="0"/>
    <n v="0"/>
    <m/>
    <n v="59.5"/>
  </r>
  <r>
    <x v="1257"/>
    <d v="2025-01-16T00:00:00"/>
    <x v="1"/>
    <x v="1"/>
    <x v="0"/>
    <x v="2"/>
    <s v="Basic"/>
    <n v="1"/>
    <n v="0"/>
    <n v="0"/>
    <n v="0"/>
    <n v="0"/>
    <n v="0"/>
    <n v="0"/>
    <m/>
    <n v="93.2"/>
  </r>
  <r>
    <x v="1258"/>
    <d v="2025-01-18T00:00:00"/>
    <x v="1"/>
    <x v="1"/>
    <x v="0"/>
    <x v="2"/>
    <s v="Basic"/>
    <n v="1"/>
    <n v="0"/>
    <n v="0"/>
    <n v="0"/>
    <n v="0"/>
    <n v="0"/>
    <n v="0"/>
    <m/>
    <n v="59"/>
  </r>
  <r>
    <x v="1259"/>
    <d v="2025-03-21T00:00:00"/>
    <x v="1"/>
    <x v="0"/>
    <x v="1"/>
    <x v="1"/>
    <s v="Free"/>
    <n v="1"/>
    <n v="0"/>
    <n v="0"/>
    <n v="0"/>
    <n v="0"/>
    <n v="0"/>
    <n v="0"/>
    <m/>
    <n v="37"/>
  </r>
  <r>
    <x v="1260"/>
    <d v="2025-04-02T00:00:00"/>
    <x v="1"/>
    <x v="0"/>
    <x v="0"/>
    <x v="2"/>
    <s v="Free"/>
    <n v="1"/>
    <n v="0"/>
    <n v="0"/>
    <n v="0"/>
    <n v="0"/>
    <n v="0"/>
    <n v="0"/>
    <m/>
    <n v="47.5"/>
  </r>
  <r>
    <x v="1261"/>
    <d v="2025-02-16T00:00:00"/>
    <x v="1"/>
    <x v="1"/>
    <x v="0"/>
    <x v="1"/>
    <s v="Free"/>
    <n v="1"/>
    <n v="1"/>
    <n v="1"/>
    <n v="0"/>
    <n v="0"/>
    <n v="0"/>
    <n v="0"/>
    <m/>
    <n v="78.7"/>
  </r>
  <r>
    <x v="1262"/>
    <d v="2025-02-18T00:00:00"/>
    <x v="1"/>
    <x v="0"/>
    <x v="1"/>
    <x v="4"/>
    <s v="Free"/>
    <n v="1"/>
    <n v="0"/>
    <n v="0"/>
    <n v="0"/>
    <n v="0"/>
    <n v="0"/>
    <n v="0"/>
    <m/>
    <n v="49.6"/>
  </r>
  <r>
    <x v="1263"/>
    <d v="2025-01-09T00:00:00"/>
    <x v="1"/>
    <x v="2"/>
    <x v="1"/>
    <x v="1"/>
    <s v="Free"/>
    <n v="1"/>
    <n v="0"/>
    <n v="0"/>
    <n v="0"/>
    <n v="0"/>
    <n v="0"/>
    <n v="0"/>
    <m/>
    <n v="58"/>
  </r>
  <r>
    <x v="1264"/>
    <d v="2025-02-18T00:00:00"/>
    <x v="1"/>
    <x v="0"/>
    <x v="0"/>
    <x v="2"/>
    <s v="Free"/>
    <n v="1"/>
    <n v="0"/>
    <n v="0"/>
    <n v="0"/>
    <n v="0"/>
    <n v="1"/>
    <n v="0"/>
    <m/>
    <n v="54.4"/>
  </r>
  <r>
    <x v="1265"/>
    <d v="2025-01-10T00:00:00"/>
    <x v="1"/>
    <x v="2"/>
    <x v="1"/>
    <x v="3"/>
    <s v="Free"/>
    <n v="0"/>
    <n v="0"/>
    <n v="0"/>
    <n v="0"/>
    <n v="0"/>
    <n v="0"/>
    <n v="0"/>
    <m/>
    <n v="33.700000000000003"/>
  </r>
  <r>
    <x v="1266"/>
    <d v="2025-03-08T00:00:00"/>
    <x v="1"/>
    <x v="1"/>
    <x v="1"/>
    <x v="0"/>
    <s v="Free"/>
    <n v="1"/>
    <n v="0"/>
    <n v="0"/>
    <n v="0"/>
    <n v="0"/>
    <n v="0"/>
    <n v="0"/>
    <m/>
    <n v="72.7"/>
  </r>
  <r>
    <x v="1267"/>
    <d v="2025-04-16T00:00:00"/>
    <x v="1"/>
    <x v="2"/>
    <x v="0"/>
    <x v="2"/>
    <s v="Basic"/>
    <n v="0"/>
    <n v="0"/>
    <n v="0"/>
    <n v="0"/>
    <n v="0"/>
    <n v="0"/>
    <n v="0"/>
    <m/>
    <n v="64.7"/>
  </r>
  <r>
    <x v="1268"/>
    <d v="2025-02-19T00:00:00"/>
    <x v="1"/>
    <x v="1"/>
    <x v="0"/>
    <x v="2"/>
    <s v="Premium"/>
    <n v="0"/>
    <n v="0"/>
    <n v="0"/>
    <n v="0"/>
    <n v="0"/>
    <n v="1"/>
    <n v="0"/>
    <m/>
    <n v="48.6"/>
  </r>
  <r>
    <x v="1269"/>
    <d v="2025-03-16T00:00:00"/>
    <x v="1"/>
    <x v="2"/>
    <x v="0"/>
    <x v="4"/>
    <s v="Free"/>
    <n v="1"/>
    <n v="1"/>
    <n v="0"/>
    <n v="0"/>
    <n v="0"/>
    <n v="0"/>
    <n v="0"/>
    <m/>
    <n v="66.2"/>
  </r>
  <r>
    <x v="1270"/>
    <d v="2025-02-03T00:00:00"/>
    <x v="1"/>
    <x v="1"/>
    <x v="3"/>
    <x v="3"/>
    <s v="Basic"/>
    <n v="1"/>
    <n v="0"/>
    <n v="0"/>
    <n v="0"/>
    <n v="0"/>
    <n v="1"/>
    <n v="0"/>
    <m/>
    <n v="60.7"/>
  </r>
  <r>
    <x v="1271"/>
    <d v="2025-03-12T00:00:00"/>
    <x v="1"/>
    <x v="1"/>
    <x v="1"/>
    <x v="2"/>
    <s v="Basic"/>
    <n v="1"/>
    <n v="0"/>
    <n v="0"/>
    <n v="0"/>
    <n v="0"/>
    <n v="0"/>
    <n v="0"/>
    <m/>
    <n v="36.5"/>
  </r>
  <r>
    <x v="1272"/>
    <d v="2025-05-09T00:00:00"/>
    <x v="1"/>
    <x v="1"/>
    <x v="1"/>
    <x v="4"/>
    <s v="Free"/>
    <n v="1"/>
    <n v="1"/>
    <n v="1"/>
    <n v="0"/>
    <n v="0"/>
    <n v="3"/>
    <n v="0"/>
    <m/>
    <n v="69.7"/>
  </r>
  <r>
    <x v="1273"/>
    <d v="2025-01-19T00:00:00"/>
    <x v="1"/>
    <x v="3"/>
    <x v="0"/>
    <x v="4"/>
    <s v="Premium"/>
    <n v="1"/>
    <n v="0"/>
    <n v="0"/>
    <n v="0"/>
    <n v="0"/>
    <n v="0"/>
    <n v="0"/>
    <m/>
    <n v="81.8"/>
  </r>
  <r>
    <x v="1274"/>
    <d v="2025-01-24T00:00:00"/>
    <x v="1"/>
    <x v="1"/>
    <x v="1"/>
    <x v="3"/>
    <s v="Free"/>
    <n v="1"/>
    <n v="1"/>
    <n v="1"/>
    <n v="0"/>
    <n v="0"/>
    <n v="1"/>
    <n v="0"/>
    <m/>
    <n v="78.3"/>
  </r>
  <r>
    <x v="1275"/>
    <d v="2025-03-03T00:00:00"/>
    <x v="1"/>
    <x v="2"/>
    <x v="1"/>
    <x v="3"/>
    <s v="Free"/>
    <n v="1"/>
    <n v="1"/>
    <n v="0"/>
    <n v="0"/>
    <n v="0"/>
    <n v="0"/>
    <n v="0"/>
    <m/>
    <n v="79.400000000000006"/>
  </r>
  <r>
    <x v="1276"/>
    <d v="2025-05-27T00:00:00"/>
    <x v="1"/>
    <x v="0"/>
    <x v="0"/>
    <x v="3"/>
    <s v="Free"/>
    <n v="1"/>
    <n v="1"/>
    <n v="1"/>
    <n v="0"/>
    <n v="0"/>
    <n v="0"/>
    <n v="0"/>
    <m/>
    <n v="54.9"/>
  </r>
  <r>
    <x v="1277"/>
    <d v="2025-04-23T00:00:00"/>
    <x v="1"/>
    <x v="1"/>
    <x v="0"/>
    <x v="1"/>
    <s v="Basic"/>
    <n v="1"/>
    <n v="0"/>
    <n v="0"/>
    <n v="0"/>
    <n v="0"/>
    <n v="0"/>
    <n v="0"/>
    <m/>
    <n v="54.9"/>
  </r>
  <r>
    <x v="1278"/>
    <d v="2025-02-10T00:00:00"/>
    <x v="1"/>
    <x v="2"/>
    <x v="0"/>
    <x v="4"/>
    <s v="Free"/>
    <n v="0"/>
    <n v="0"/>
    <n v="0"/>
    <n v="0"/>
    <n v="0"/>
    <n v="0"/>
    <n v="0"/>
    <m/>
    <n v="28.7"/>
  </r>
  <r>
    <x v="1279"/>
    <d v="2025-02-11T00:00:00"/>
    <x v="1"/>
    <x v="0"/>
    <x v="1"/>
    <x v="1"/>
    <s v="Free"/>
    <n v="0"/>
    <n v="0"/>
    <n v="0"/>
    <n v="0"/>
    <n v="0"/>
    <n v="0"/>
    <n v="0"/>
    <m/>
    <n v="68.8"/>
  </r>
  <r>
    <x v="1280"/>
    <d v="2025-01-21T00:00:00"/>
    <x v="1"/>
    <x v="2"/>
    <x v="0"/>
    <x v="2"/>
    <s v="Free"/>
    <n v="1"/>
    <n v="1"/>
    <n v="1"/>
    <n v="0"/>
    <n v="0"/>
    <n v="0"/>
    <n v="0"/>
    <m/>
    <n v="43.5"/>
  </r>
  <r>
    <x v="1281"/>
    <d v="2025-02-02T00:00:00"/>
    <x v="1"/>
    <x v="1"/>
    <x v="0"/>
    <x v="4"/>
    <s v="Free"/>
    <n v="1"/>
    <n v="1"/>
    <n v="0"/>
    <n v="0"/>
    <n v="0"/>
    <n v="0"/>
    <n v="0"/>
    <m/>
    <n v="62.6"/>
  </r>
  <r>
    <x v="1282"/>
    <d v="2025-02-02T00:00:00"/>
    <x v="1"/>
    <x v="1"/>
    <x v="1"/>
    <x v="1"/>
    <s v="Free"/>
    <n v="0"/>
    <n v="0"/>
    <n v="0"/>
    <n v="0"/>
    <n v="0"/>
    <n v="1"/>
    <n v="0"/>
    <m/>
    <n v="54.1"/>
  </r>
  <r>
    <x v="1283"/>
    <d v="2025-02-26T00:00:00"/>
    <x v="1"/>
    <x v="1"/>
    <x v="2"/>
    <x v="4"/>
    <s v="Free"/>
    <n v="1"/>
    <n v="1"/>
    <n v="1"/>
    <n v="0"/>
    <n v="0"/>
    <n v="0"/>
    <n v="0"/>
    <m/>
    <n v="80.099999999999994"/>
  </r>
  <r>
    <x v="1284"/>
    <d v="2025-04-22T00:00:00"/>
    <x v="1"/>
    <x v="0"/>
    <x v="1"/>
    <x v="4"/>
    <s v="Premium"/>
    <n v="1"/>
    <n v="0"/>
    <n v="0"/>
    <n v="0"/>
    <n v="0"/>
    <n v="0"/>
    <n v="0"/>
    <m/>
    <n v="69.5"/>
  </r>
  <r>
    <x v="1285"/>
    <d v="2025-03-11T00:00:00"/>
    <x v="1"/>
    <x v="0"/>
    <x v="0"/>
    <x v="1"/>
    <s v="Basic"/>
    <n v="0"/>
    <n v="0"/>
    <n v="0"/>
    <n v="0"/>
    <n v="0"/>
    <n v="2"/>
    <n v="0"/>
    <m/>
    <n v="46.6"/>
  </r>
  <r>
    <x v="1286"/>
    <d v="2025-05-08T00:00:00"/>
    <x v="1"/>
    <x v="3"/>
    <x v="1"/>
    <x v="1"/>
    <s v="Premium"/>
    <n v="1"/>
    <n v="0"/>
    <n v="0"/>
    <n v="0"/>
    <n v="0"/>
    <n v="1"/>
    <n v="0"/>
    <m/>
    <n v="54.9"/>
  </r>
  <r>
    <x v="1287"/>
    <d v="2025-03-10T00:00:00"/>
    <x v="1"/>
    <x v="2"/>
    <x v="0"/>
    <x v="1"/>
    <s v="Free"/>
    <n v="0"/>
    <n v="0"/>
    <n v="0"/>
    <n v="0"/>
    <n v="0"/>
    <n v="0"/>
    <n v="0"/>
    <m/>
    <n v="100"/>
  </r>
  <r>
    <x v="1288"/>
    <d v="2025-04-16T00:00:00"/>
    <x v="1"/>
    <x v="2"/>
    <x v="0"/>
    <x v="2"/>
    <s v="Free"/>
    <n v="1"/>
    <n v="1"/>
    <n v="1"/>
    <n v="0"/>
    <n v="0"/>
    <n v="1"/>
    <n v="0"/>
    <m/>
    <n v="80.5"/>
  </r>
  <r>
    <x v="1289"/>
    <d v="2025-03-01T00:00:00"/>
    <x v="1"/>
    <x v="1"/>
    <x v="2"/>
    <x v="1"/>
    <s v="Basic"/>
    <n v="1"/>
    <n v="0"/>
    <n v="0"/>
    <n v="0"/>
    <n v="0"/>
    <n v="0"/>
    <n v="0"/>
    <m/>
    <n v="51.2"/>
  </r>
  <r>
    <x v="1290"/>
    <d v="2025-01-18T00:00:00"/>
    <x v="1"/>
    <x v="3"/>
    <x v="0"/>
    <x v="1"/>
    <s v="Premium"/>
    <n v="1"/>
    <n v="0"/>
    <n v="0"/>
    <n v="0"/>
    <n v="0"/>
    <n v="0"/>
    <n v="0"/>
    <m/>
    <n v="42.5"/>
  </r>
  <r>
    <x v="1291"/>
    <d v="2025-03-30T00:00:00"/>
    <x v="1"/>
    <x v="0"/>
    <x v="1"/>
    <x v="2"/>
    <s v="Free"/>
    <n v="0"/>
    <n v="0"/>
    <n v="0"/>
    <n v="0"/>
    <n v="0"/>
    <n v="0"/>
    <n v="0"/>
    <m/>
    <n v="72.5"/>
  </r>
  <r>
    <x v="1292"/>
    <d v="2025-05-26T00:00:00"/>
    <x v="1"/>
    <x v="1"/>
    <x v="1"/>
    <x v="4"/>
    <s v="Premium"/>
    <n v="0"/>
    <n v="0"/>
    <n v="0"/>
    <n v="0"/>
    <n v="0"/>
    <n v="0"/>
    <n v="0"/>
    <m/>
    <n v="74.400000000000006"/>
  </r>
  <r>
    <x v="1293"/>
    <d v="2025-03-19T00:00:00"/>
    <x v="1"/>
    <x v="2"/>
    <x v="0"/>
    <x v="4"/>
    <s v="Free"/>
    <n v="0"/>
    <n v="0"/>
    <n v="0"/>
    <n v="0"/>
    <n v="0"/>
    <n v="0"/>
    <n v="0"/>
    <m/>
    <n v="78.400000000000006"/>
  </r>
  <r>
    <x v="1294"/>
    <d v="2025-03-28T00:00:00"/>
    <x v="1"/>
    <x v="0"/>
    <x v="0"/>
    <x v="3"/>
    <s v="Free"/>
    <n v="1"/>
    <n v="0"/>
    <n v="0"/>
    <n v="0"/>
    <n v="0"/>
    <n v="0"/>
    <n v="0"/>
    <m/>
    <n v="71.5"/>
  </r>
  <r>
    <x v="1295"/>
    <d v="2025-05-28T00:00:00"/>
    <x v="1"/>
    <x v="3"/>
    <x v="0"/>
    <x v="4"/>
    <s v="Free"/>
    <n v="1"/>
    <n v="0"/>
    <n v="0"/>
    <n v="0"/>
    <n v="0"/>
    <n v="0"/>
    <n v="0"/>
    <m/>
    <n v="66.7"/>
  </r>
  <r>
    <x v="1296"/>
    <d v="2025-05-31T00:00:00"/>
    <x v="1"/>
    <x v="3"/>
    <x v="0"/>
    <x v="3"/>
    <s v="Premium"/>
    <n v="1"/>
    <n v="1"/>
    <n v="1"/>
    <n v="1"/>
    <n v="1496.09"/>
    <n v="0"/>
    <n v="0"/>
    <n v="7"/>
    <n v="60.4"/>
  </r>
  <r>
    <x v="1297"/>
    <d v="2025-05-10T00:00:00"/>
    <x v="1"/>
    <x v="0"/>
    <x v="1"/>
    <x v="3"/>
    <s v="Free"/>
    <n v="0"/>
    <n v="0"/>
    <n v="0"/>
    <n v="0"/>
    <n v="0"/>
    <n v="1"/>
    <n v="0"/>
    <m/>
    <n v="72.900000000000006"/>
  </r>
  <r>
    <x v="1298"/>
    <d v="2025-05-17T00:00:00"/>
    <x v="1"/>
    <x v="1"/>
    <x v="1"/>
    <x v="1"/>
    <s v="Free"/>
    <n v="0"/>
    <n v="0"/>
    <n v="0"/>
    <n v="0"/>
    <n v="0"/>
    <n v="3"/>
    <n v="0"/>
    <m/>
    <m/>
  </r>
  <r>
    <x v="1299"/>
    <d v="2025-01-18T00:00:00"/>
    <x v="1"/>
    <x v="3"/>
    <x v="1"/>
    <x v="1"/>
    <s v="Premium"/>
    <n v="1"/>
    <n v="0"/>
    <n v="0"/>
    <n v="0"/>
    <n v="0"/>
    <n v="0"/>
    <n v="0"/>
    <m/>
    <n v="55.2"/>
  </r>
  <r>
    <x v="1300"/>
    <d v="2025-05-04T00:00:00"/>
    <x v="1"/>
    <x v="1"/>
    <x v="1"/>
    <x v="4"/>
    <s v="Free"/>
    <n v="1"/>
    <n v="0"/>
    <n v="0"/>
    <n v="0"/>
    <n v="0"/>
    <n v="0"/>
    <n v="0"/>
    <m/>
    <n v="67.8"/>
  </r>
  <r>
    <x v="1301"/>
    <d v="2025-03-25T00:00:00"/>
    <x v="1"/>
    <x v="0"/>
    <x v="1"/>
    <x v="1"/>
    <s v="Free"/>
    <n v="1"/>
    <n v="0"/>
    <n v="0"/>
    <n v="0"/>
    <n v="0"/>
    <n v="2"/>
    <n v="0"/>
    <m/>
    <n v="70"/>
  </r>
  <r>
    <x v="1302"/>
    <d v="2025-02-27T00:00:00"/>
    <x v="1"/>
    <x v="0"/>
    <x v="1"/>
    <x v="4"/>
    <s v="Basic"/>
    <n v="1"/>
    <n v="1"/>
    <n v="1"/>
    <n v="0"/>
    <n v="0"/>
    <n v="0"/>
    <n v="0"/>
    <m/>
    <n v="51.1"/>
  </r>
  <r>
    <x v="1303"/>
    <d v="2025-01-14T00:00:00"/>
    <x v="1"/>
    <x v="1"/>
    <x v="1"/>
    <x v="2"/>
    <s v="Basic"/>
    <n v="1"/>
    <n v="1"/>
    <n v="1"/>
    <n v="0"/>
    <n v="0"/>
    <n v="0"/>
    <n v="0"/>
    <m/>
    <n v="57"/>
  </r>
  <r>
    <x v="1304"/>
    <d v="2025-04-11T00:00:00"/>
    <x v="1"/>
    <x v="2"/>
    <x v="1"/>
    <x v="4"/>
    <s v="Free"/>
    <n v="0"/>
    <n v="0"/>
    <n v="0"/>
    <n v="0"/>
    <n v="0"/>
    <n v="1"/>
    <n v="0"/>
    <m/>
    <n v="47.1"/>
  </r>
  <r>
    <x v="1305"/>
    <d v="2025-03-26T00:00:00"/>
    <x v="1"/>
    <x v="2"/>
    <x v="0"/>
    <x v="4"/>
    <s v="Basic"/>
    <n v="0"/>
    <n v="0"/>
    <n v="0"/>
    <n v="0"/>
    <n v="0"/>
    <n v="0"/>
    <n v="0"/>
    <m/>
    <n v="30.7"/>
  </r>
  <r>
    <x v="1306"/>
    <d v="2025-02-12T00:00:00"/>
    <x v="1"/>
    <x v="1"/>
    <x v="0"/>
    <x v="4"/>
    <s v="Free"/>
    <n v="1"/>
    <n v="0"/>
    <n v="0"/>
    <n v="0"/>
    <n v="0"/>
    <n v="0"/>
    <n v="0"/>
    <m/>
    <n v="57.3"/>
  </r>
  <r>
    <x v="1307"/>
    <d v="2025-02-18T00:00:00"/>
    <x v="1"/>
    <x v="1"/>
    <x v="2"/>
    <x v="2"/>
    <s v="Basic"/>
    <n v="1"/>
    <n v="0"/>
    <n v="0"/>
    <n v="0"/>
    <n v="0"/>
    <n v="0"/>
    <n v="0"/>
    <m/>
    <n v="70"/>
  </r>
  <r>
    <x v="1308"/>
    <d v="2025-05-25T00:00:00"/>
    <x v="1"/>
    <x v="2"/>
    <x v="0"/>
    <x v="4"/>
    <s v="Free"/>
    <n v="1"/>
    <n v="1"/>
    <n v="1"/>
    <n v="0"/>
    <n v="0"/>
    <n v="0"/>
    <n v="0"/>
    <m/>
    <n v="59.7"/>
  </r>
  <r>
    <x v="1309"/>
    <d v="2025-05-23T00:00:00"/>
    <x v="1"/>
    <x v="2"/>
    <x v="0"/>
    <x v="2"/>
    <s v="Basic"/>
    <n v="1"/>
    <n v="0"/>
    <n v="0"/>
    <n v="0"/>
    <n v="0"/>
    <n v="0"/>
    <n v="0"/>
    <m/>
    <n v="68.8"/>
  </r>
  <r>
    <x v="1310"/>
    <d v="2025-01-16T00:00:00"/>
    <x v="1"/>
    <x v="0"/>
    <x v="0"/>
    <x v="1"/>
    <s v="Free"/>
    <n v="1"/>
    <n v="1"/>
    <n v="1"/>
    <n v="1"/>
    <n v="428.37"/>
    <n v="0"/>
    <n v="0"/>
    <n v="9"/>
    <n v="88.3"/>
  </r>
  <r>
    <x v="1311"/>
    <d v="2025-01-19T00:00:00"/>
    <x v="1"/>
    <x v="1"/>
    <x v="0"/>
    <x v="0"/>
    <s v="Basic"/>
    <n v="0"/>
    <n v="0"/>
    <n v="0"/>
    <n v="0"/>
    <n v="0"/>
    <n v="0"/>
    <n v="0"/>
    <m/>
    <n v="83.4"/>
  </r>
  <r>
    <x v="1312"/>
    <d v="2025-05-18T00:00:00"/>
    <x v="1"/>
    <x v="3"/>
    <x v="1"/>
    <x v="3"/>
    <s v="Free"/>
    <n v="0"/>
    <n v="0"/>
    <n v="0"/>
    <n v="0"/>
    <n v="0"/>
    <n v="1"/>
    <n v="0"/>
    <m/>
    <n v="81.599999999999994"/>
  </r>
  <r>
    <x v="1313"/>
    <d v="2025-01-23T00:00:00"/>
    <x v="1"/>
    <x v="2"/>
    <x v="2"/>
    <x v="4"/>
    <s v="Premium"/>
    <n v="1"/>
    <n v="0"/>
    <n v="0"/>
    <n v="0"/>
    <n v="0"/>
    <n v="0"/>
    <n v="0"/>
    <m/>
    <n v="91.6"/>
  </r>
  <r>
    <x v="1314"/>
    <d v="2025-01-08T00:00:00"/>
    <x v="1"/>
    <x v="2"/>
    <x v="2"/>
    <x v="5"/>
    <s v="Premium"/>
    <n v="1"/>
    <n v="1"/>
    <n v="1"/>
    <n v="0"/>
    <n v="0"/>
    <n v="1"/>
    <n v="0"/>
    <m/>
    <n v="61.5"/>
  </r>
  <r>
    <x v="1315"/>
    <d v="2025-02-19T00:00:00"/>
    <x v="1"/>
    <x v="0"/>
    <x v="1"/>
    <x v="1"/>
    <s v="Premium"/>
    <n v="0"/>
    <n v="0"/>
    <n v="0"/>
    <n v="0"/>
    <n v="0"/>
    <n v="0"/>
    <n v="0"/>
    <m/>
    <m/>
  </r>
  <r>
    <x v="1316"/>
    <d v="2025-02-10T00:00:00"/>
    <x v="1"/>
    <x v="3"/>
    <x v="1"/>
    <x v="1"/>
    <s v="Free"/>
    <n v="1"/>
    <n v="0"/>
    <n v="0"/>
    <n v="0"/>
    <n v="0"/>
    <n v="0"/>
    <n v="0"/>
    <m/>
    <n v="32.6"/>
  </r>
  <r>
    <x v="1317"/>
    <d v="2025-04-13T00:00:00"/>
    <x v="1"/>
    <x v="3"/>
    <x v="1"/>
    <x v="2"/>
    <s v="Free"/>
    <n v="1"/>
    <n v="0"/>
    <n v="0"/>
    <n v="0"/>
    <n v="0"/>
    <n v="0"/>
    <n v="0"/>
    <m/>
    <n v="73.900000000000006"/>
  </r>
  <r>
    <x v="1318"/>
    <d v="2025-05-20T00:00:00"/>
    <x v="1"/>
    <x v="2"/>
    <x v="1"/>
    <x v="1"/>
    <s v="Free"/>
    <n v="1"/>
    <n v="1"/>
    <n v="1"/>
    <n v="1"/>
    <n v="444.06"/>
    <n v="0"/>
    <n v="0"/>
    <n v="9"/>
    <n v="99.9"/>
  </r>
  <r>
    <x v="1319"/>
    <d v="2025-05-13T00:00:00"/>
    <x v="1"/>
    <x v="3"/>
    <x v="1"/>
    <x v="2"/>
    <s v="Basic"/>
    <n v="1"/>
    <n v="1"/>
    <n v="0"/>
    <n v="0"/>
    <n v="0"/>
    <n v="1"/>
    <n v="0"/>
    <m/>
    <n v="62.4"/>
  </r>
  <r>
    <x v="1320"/>
    <d v="2025-05-28T00:00:00"/>
    <x v="1"/>
    <x v="3"/>
    <x v="0"/>
    <x v="2"/>
    <s v="Basic"/>
    <n v="1"/>
    <n v="0"/>
    <n v="0"/>
    <n v="0"/>
    <n v="0"/>
    <n v="0"/>
    <n v="0"/>
    <m/>
    <n v="46.1"/>
  </r>
  <r>
    <x v="1321"/>
    <d v="2025-03-19T00:00:00"/>
    <x v="1"/>
    <x v="1"/>
    <x v="1"/>
    <x v="1"/>
    <s v="Free"/>
    <n v="1"/>
    <n v="1"/>
    <n v="1"/>
    <n v="1"/>
    <n v="2660.21"/>
    <n v="0"/>
    <n v="0"/>
    <n v="3"/>
    <n v="73.900000000000006"/>
  </r>
  <r>
    <x v="1322"/>
    <d v="2025-02-03T00:00:00"/>
    <x v="1"/>
    <x v="0"/>
    <x v="1"/>
    <x v="0"/>
    <s v="Premium"/>
    <n v="0"/>
    <n v="0"/>
    <n v="0"/>
    <n v="0"/>
    <n v="0"/>
    <n v="0"/>
    <n v="0"/>
    <m/>
    <n v="90"/>
  </r>
  <r>
    <x v="1323"/>
    <d v="2025-02-26T00:00:00"/>
    <x v="1"/>
    <x v="3"/>
    <x v="1"/>
    <x v="0"/>
    <s v="Basic"/>
    <n v="1"/>
    <n v="0"/>
    <n v="0"/>
    <n v="0"/>
    <n v="0"/>
    <n v="1"/>
    <n v="0"/>
    <m/>
    <n v="68.8"/>
  </r>
  <r>
    <x v="1324"/>
    <d v="2025-01-26T00:00:00"/>
    <x v="1"/>
    <x v="1"/>
    <x v="1"/>
    <x v="2"/>
    <s v="Free"/>
    <n v="1"/>
    <n v="0"/>
    <n v="0"/>
    <n v="0"/>
    <n v="0"/>
    <n v="0"/>
    <n v="0"/>
    <m/>
    <n v="66.599999999999994"/>
  </r>
  <r>
    <x v="1325"/>
    <d v="2025-05-13T00:00:00"/>
    <x v="1"/>
    <x v="0"/>
    <x v="1"/>
    <x v="1"/>
    <s v="Premium"/>
    <n v="1"/>
    <n v="0"/>
    <n v="0"/>
    <n v="0"/>
    <n v="0"/>
    <n v="0"/>
    <n v="0"/>
    <m/>
    <n v="49.7"/>
  </r>
  <r>
    <x v="1326"/>
    <d v="2025-02-02T00:00:00"/>
    <x v="1"/>
    <x v="3"/>
    <x v="1"/>
    <x v="2"/>
    <s v="Basic"/>
    <n v="0"/>
    <n v="0"/>
    <n v="0"/>
    <n v="0"/>
    <n v="0"/>
    <n v="0"/>
    <n v="0"/>
    <m/>
    <n v="67.900000000000006"/>
  </r>
  <r>
    <x v="1327"/>
    <d v="2025-04-30T00:00:00"/>
    <x v="1"/>
    <x v="1"/>
    <x v="1"/>
    <x v="5"/>
    <s v="Basic"/>
    <n v="0"/>
    <n v="0"/>
    <n v="0"/>
    <n v="0"/>
    <n v="0"/>
    <n v="0"/>
    <n v="0"/>
    <m/>
    <n v="66.900000000000006"/>
  </r>
  <r>
    <x v="1328"/>
    <d v="2025-03-29T00:00:00"/>
    <x v="1"/>
    <x v="2"/>
    <x v="1"/>
    <x v="1"/>
    <s v="Free"/>
    <n v="0"/>
    <n v="0"/>
    <n v="0"/>
    <n v="0"/>
    <n v="0"/>
    <n v="0"/>
    <n v="0"/>
    <m/>
    <n v="46.1"/>
  </r>
  <r>
    <x v="1329"/>
    <d v="2025-04-09T00:00:00"/>
    <x v="1"/>
    <x v="1"/>
    <x v="0"/>
    <x v="3"/>
    <s v="Premium"/>
    <n v="1"/>
    <n v="0"/>
    <n v="0"/>
    <n v="0"/>
    <n v="0"/>
    <n v="0"/>
    <n v="0"/>
    <m/>
    <n v="85.6"/>
  </r>
  <r>
    <x v="1330"/>
    <d v="2025-01-22T00:00:00"/>
    <x v="1"/>
    <x v="3"/>
    <x v="2"/>
    <x v="1"/>
    <s v="Free"/>
    <n v="0"/>
    <n v="0"/>
    <n v="0"/>
    <n v="0"/>
    <n v="0"/>
    <n v="0"/>
    <n v="0"/>
    <m/>
    <n v="39.6"/>
  </r>
  <r>
    <x v="1331"/>
    <d v="2025-01-27T00:00:00"/>
    <x v="1"/>
    <x v="3"/>
    <x v="1"/>
    <x v="1"/>
    <s v="Basic"/>
    <n v="1"/>
    <n v="0"/>
    <n v="0"/>
    <n v="0"/>
    <n v="0"/>
    <n v="0"/>
    <n v="0"/>
    <m/>
    <n v="52.5"/>
  </r>
  <r>
    <x v="1332"/>
    <d v="2025-01-22T00:00:00"/>
    <x v="1"/>
    <x v="2"/>
    <x v="1"/>
    <x v="4"/>
    <s v="Premium"/>
    <n v="1"/>
    <n v="0"/>
    <n v="0"/>
    <n v="0"/>
    <n v="0"/>
    <n v="0"/>
    <n v="0"/>
    <m/>
    <n v="73.5"/>
  </r>
  <r>
    <x v="1333"/>
    <d v="2025-01-06T00:00:00"/>
    <x v="1"/>
    <x v="1"/>
    <x v="0"/>
    <x v="2"/>
    <s v="Free"/>
    <n v="0"/>
    <n v="0"/>
    <n v="0"/>
    <n v="0"/>
    <n v="0"/>
    <n v="0"/>
    <n v="0"/>
    <m/>
    <n v="62.5"/>
  </r>
  <r>
    <x v="1334"/>
    <d v="2025-04-16T00:00:00"/>
    <x v="1"/>
    <x v="3"/>
    <x v="3"/>
    <x v="1"/>
    <s v="Free"/>
    <n v="1"/>
    <n v="0"/>
    <n v="0"/>
    <n v="0"/>
    <n v="0"/>
    <n v="0"/>
    <n v="0"/>
    <m/>
    <n v="76.900000000000006"/>
  </r>
  <r>
    <x v="1335"/>
    <d v="2025-04-14T00:00:00"/>
    <x v="1"/>
    <x v="3"/>
    <x v="1"/>
    <x v="1"/>
    <s v="Free"/>
    <n v="1"/>
    <n v="0"/>
    <n v="0"/>
    <n v="0"/>
    <n v="0"/>
    <n v="0"/>
    <n v="0"/>
    <m/>
    <n v="51.4"/>
  </r>
  <r>
    <x v="1336"/>
    <d v="2025-02-22T00:00:00"/>
    <x v="1"/>
    <x v="1"/>
    <x v="1"/>
    <x v="2"/>
    <s v="Basic"/>
    <n v="1"/>
    <n v="0"/>
    <n v="0"/>
    <n v="0"/>
    <n v="0"/>
    <n v="0"/>
    <n v="0"/>
    <m/>
    <n v="59.3"/>
  </r>
  <r>
    <x v="1337"/>
    <d v="2025-03-09T00:00:00"/>
    <x v="1"/>
    <x v="0"/>
    <x v="1"/>
    <x v="1"/>
    <s v="Basic"/>
    <n v="0"/>
    <n v="0"/>
    <n v="0"/>
    <n v="0"/>
    <n v="0"/>
    <n v="0"/>
    <n v="0"/>
    <m/>
    <n v="74.900000000000006"/>
  </r>
  <r>
    <x v="1338"/>
    <d v="2025-04-20T00:00:00"/>
    <x v="1"/>
    <x v="1"/>
    <x v="0"/>
    <x v="1"/>
    <s v="Free"/>
    <n v="1"/>
    <n v="0"/>
    <n v="0"/>
    <n v="0"/>
    <n v="0"/>
    <n v="0"/>
    <n v="0"/>
    <m/>
    <n v="67"/>
  </r>
  <r>
    <x v="1339"/>
    <d v="2025-03-10T00:00:00"/>
    <x v="1"/>
    <x v="3"/>
    <x v="1"/>
    <x v="0"/>
    <s v="Free"/>
    <n v="0"/>
    <n v="0"/>
    <n v="0"/>
    <n v="0"/>
    <n v="0"/>
    <n v="0"/>
    <n v="0"/>
    <m/>
    <n v="63.6"/>
  </r>
  <r>
    <x v="1340"/>
    <d v="2025-02-21T00:00:00"/>
    <x v="1"/>
    <x v="3"/>
    <x v="1"/>
    <x v="0"/>
    <s v="Free"/>
    <n v="1"/>
    <n v="1"/>
    <n v="0"/>
    <n v="0"/>
    <n v="0"/>
    <n v="1"/>
    <n v="0"/>
    <m/>
    <n v="58.4"/>
  </r>
  <r>
    <x v="1341"/>
    <d v="2025-01-06T00:00:00"/>
    <x v="1"/>
    <x v="0"/>
    <x v="0"/>
    <x v="4"/>
    <s v="Free"/>
    <n v="1"/>
    <n v="0"/>
    <n v="0"/>
    <n v="0"/>
    <n v="0"/>
    <n v="0"/>
    <n v="0"/>
    <m/>
    <n v="36.799999999999997"/>
  </r>
  <r>
    <x v="1342"/>
    <d v="2025-04-17T00:00:00"/>
    <x v="1"/>
    <x v="3"/>
    <x v="1"/>
    <x v="1"/>
    <s v="Premium"/>
    <n v="1"/>
    <n v="0"/>
    <n v="0"/>
    <n v="0"/>
    <n v="0"/>
    <n v="0"/>
    <n v="0"/>
    <m/>
    <n v="71.599999999999994"/>
  </r>
  <r>
    <x v="1343"/>
    <d v="2025-05-23T00:00:00"/>
    <x v="1"/>
    <x v="3"/>
    <x v="1"/>
    <x v="0"/>
    <s v="Basic"/>
    <n v="1"/>
    <n v="1"/>
    <n v="0"/>
    <n v="0"/>
    <n v="0"/>
    <n v="1"/>
    <n v="0"/>
    <m/>
    <n v="79.7"/>
  </r>
  <r>
    <x v="1344"/>
    <d v="2025-03-14T00:00:00"/>
    <x v="1"/>
    <x v="1"/>
    <x v="0"/>
    <x v="1"/>
    <s v="Basic"/>
    <n v="1"/>
    <n v="0"/>
    <n v="0"/>
    <n v="0"/>
    <n v="0"/>
    <n v="1"/>
    <n v="0"/>
    <m/>
    <n v="56.5"/>
  </r>
  <r>
    <x v="1345"/>
    <d v="2025-04-21T00:00:00"/>
    <x v="1"/>
    <x v="0"/>
    <x v="1"/>
    <x v="4"/>
    <s v="Premium"/>
    <n v="1"/>
    <n v="0"/>
    <n v="0"/>
    <n v="0"/>
    <n v="0"/>
    <n v="0"/>
    <n v="0"/>
    <m/>
    <n v="44.7"/>
  </r>
  <r>
    <x v="1346"/>
    <d v="2025-01-03T00:00:00"/>
    <x v="1"/>
    <x v="3"/>
    <x v="1"/>
    <x v="4"/>
    <s v="Free"/>
    <n v="1"/>
    <n v="1"/>
    <n v="1"/>
    <n v="0"/>
    <n v="0"/>
    <n v="1"/>
    <n v="0"/>
    <m/>
    <n v="66"/>
  </r>
  <r>
    <x v="1347"/>
    <d v="2025-05-09T00:00:00"/>
    <x v="1"/>
    <x v="0"/>
    <x v="0"/>
    <x v="1"/>
    <s v="Basic"/>
    <n v="1"/>
    <n v="0"/>
    <n v="0"/>
    <n v="0"/>
    <n v="0"/>
    <n v="0"/>
    <n v="0"/>
    <m/>
    <n v="73"/>
  </r>
  <r>
    <x v="1348"/>
    <d v="2025-05-22T00:00:00"/>
    <x v="1"/>
    <x v="3"/>
    <x v="1"/>
    <x v="1"/>
    <s v="Basic"/>
    <n v="1"/>
    <n v="1"/>
    <n v="1"/>
    <n v="0"/>
    <n v="0"/>
    <n v="1"/>
    <n v="0"/>
    <m/>
    <n v="72.5"/>
  </r>
  <r>
    <x v="1349"/>
    <d v="2025-05-07T00:00:00"/>
    <x v="1"/>
    <x v="3"/>
    <x v="0"/>
    <x v="2"/>
    <s v="Free"/>
    <n v="1"/>
    <n v="1"/>
    <n v="1"/>
    <n v="1"/>
    <n v="323.60000000000002"/>
    <n v="0"/>
    <n v="0"/>
    <n v="6"/>
    <n v="100"/>
  </r>
  <r>
    <x v="1350"/>
    <d v="2025-02-08T00:00:00"/>
    <x v="1"/>
    <x v="2"/>
    <x v="1"/>
    <x v="4"/>
    <s v="Free"/>
    <n v="0"/>
    <n v="0"/>
    <n v="0"/>
    <n v="0"/>
    <n v="0"/>
    <n v="1"/>
    <n v="0"/>
    <m/>
    <n v="90.5"/>
  </r>
  <r>
    <x v="1351"/>
    <d v="2025-04-03T00:00:00"/>
    <x v="1"/>
    <x v="0"/>
    <x v="2"/>
    <x v="4"/>
    <s v="Basic"/>
    <n v="1"/>
    <n v="0"/>
    <n v="0"/>
    <n v="0"/>
    <n v="0"/>
    <n v="0"/>
    <n v="0"/>
    <m/>
    <n v="70.2"/>
  </r>
  <r>
    <x v="1352"/>
    <d v="2025-04-17T00:00:00"/>
    <x v="1"/>
    <x v="2"/>
    <x v="0"/>
    <x v="2"/>
    <s v="Free"/>
    <n v="1"/>
    <n v="0"/>
    <n v="0"/>
    <n v="0"/>
    <n v="0"/>
    <n v="1"/>
    <n v="0"/>
    <m/>
    <n v="67.099999999999994"/>
  </r>
  <r>
    <x v="1353"/>
    <d v="2025-05-04T00:00:00"/>
    <x v="1"/>
    <x v="2"/>
    <x v="1"/>
    <x v="1"/>
    <s v="Free"/>
    <n v="0"/>
    <n v="0"/>
    <n v="0"/>
    <n v="0"/>
    <n v="0"/>
    <n v="0"/>
    <n v="0"/>
    <m/>
    <n v="54.5"/>
  </r>
  <r>
    <x v="1354"/>
    <d v="2025-05-11T00:00:00"/>
    <x v="1"/>
    <x v="1"/>
    <x v="0"/>
    <x v="1"/>
    <s v="Free"/>
    <n v="1"/>
    <n v="0"/>
    <n v="0"/>
    <n v="0"/>
    <n v="0"/>
    <n v="0"/>
    <n v="0"/>
    <m/>
    <n v="63.4"/>
  </r>
  <r>
    <x v="1355"/>
    <d v="2025-03-01T00:00:00"/>
    <x v="1"/>
    <x v="0"/>
    <x v="0"/>
    <x v="5"/>
    <s v="Free"/>
    <n v="1"/>
    <n v="1"/>
    <n v="1"/>
    <n v="0"/>
    <n v="0"/>
    <n v="0"/>
    <n v="0"/>
    <m/>
    <n v="84.3"/>
  </r>
  <r>
    <x v="1356"/>
    <d v="2025-02-20T00:00:00"/>
    <x v="1"/>
    <x v="1"/>
    <x v="0"/>
    <x v="1"/>
    <s v="Free"/>
    <n v="1"/>
    <n v="0"/>
    <n v="0"/>
    <n v="0"/>
    <n v="0"/>
    <n v="1"/>
    <n v="0"/>
    <m/>
    <n v="55"/>
  </r>
  <r>
    <x v="1357"/>
    <d v="2025-05-09T00:00:00"/>
    <x v="1"/>
    <x v="1"/>
    <x v="1"/>
    <x v="4"/>
    <s v="Free"/>
    <n v="1"/>
    <n v="0"/>
    <n v="0"/>
    <n v="0"/>
    <n v="0"/>
    <n v="0"/>
    <n v="0"/>
    <m/>
    <n v="63.6"/>
  </r>
  <r>
    <x v="1358"/>
    <d v="2025-04-30T00:00:00"/>
    <x v="1"/>
    <x v="1"/>
    <x v="1"/>
    <x v="1"/>
    <s v="Free"/>
    <n v="1"/>
    <n v="0"/>
    <n v="0"/>
    <n v="0"/>
    <n v="0"/>
    <n v="0"/>
    <n v="0"/>
    <m/>
    <n v="55.5"/>
  </r>
  <r>
    <x v="1359"/>
    <d v="2025-01-07T00:00:00"/>
    <x v="1"/>
    <x v="3"/>
    <x v="1"/>
    <x v="4"/>
    <s v="Basic"/>
    <n v="0"/>
    <n v="0"/>
    <n v="0"/>
    <n v="0"/>
    <n v="0"/>
    <n v="0"/>
    <n v="0"/>
    <m/>
    <n v="50.5"/>
  </r>
  <r>
    <x v="1360"/>
    <d v="2025-04-30T00:00:00"/>
    <x v="1"/>
    <x v="0"/>
    <x v="1"/>
    <x v="4"/>
    <s v="Basic"/>
    <n v="1"/>
    <n v="0"/>
    <n v="0"/>
    <n v="0"/>
    <n v="0"/>
    <n v="0"/>
    <n v="0"/>
    <m/>
    <n v="45.3"/>
  </r>
  <r>
    <x v="1361"/>
    <d v="2025-05-23T00:00:00"/>
    <x v="1"/>
    <x v="2"/>
    <x v="1"/>
    <x v="1"/>
    <s v="Basic"/>
    <n v="1"/>
    <n v="0"/>
    <n v="0"/>
    <n v="0"/>
    <n v="0"/>
    <n v="0"/>
    <n v="0"/>
    <m/>
    <n v="33.6"/>
  </r>
  <r>
    <x v="1362"/>
    <d v="2025-03-12T00:00:00"/>
    <x v="1"/>
    <x v="3"/>
    <x v="1"/>
    <x v="2"/>
    <s v="Premium"/>
    <n v="1"/>
    <n v="1"/>
    <n v="1"/>
    <n v="0"/>
    <n v="0"/>
    <n v="0"/>
    <n v="0"/>
    <m/>
    <n v="88.2"/>
  </r>
  <r>
    <x v="1363"/>
    <d v="2025-02-17T00:00:00"/>
    <x v="1"/>
    <x v="0"/>
    <x v="1"/>
    <x v="1"/>
    <s v="Premium"/>
    <n v="1"/>
    <n v="0"/>
    <n v="0"/>
    <n v="0"/>
    <n v="0"/>
    <n v="0"/>
    <n v="0"/>
    <m/>
    <n v="51.8"/>
  </r>
  <r>
    <x v="1364"/>
    <d v="2025-05-27T00:00:00"/>
    <x v="1"/>
    <x v="0"/>
    <x v="0"/>
    <x v="1"/>
    <s v="Basic"/>
    <n v="0"/>
    <n v="0"/>
    <n v="0"/>
    <n v="0"/>
    <n v="0"/>
    <n v="0"/>
    <n v="0"/>
    <m/>
    <n v="87.9"/>
  </r>
  <r>
    <x v="1365"/>
    <d v="2025-05-10T00:00:00"/>
    <x v="1"/>
    <x v="3"/>
    <x v="1"/>
    <x v="4"/>
    <s v="Premium"/>
    <n v="1"/>
    <n v="0"/>
    <n v="0"/>
    <n v="0"/>
    <n v="0"/>
    <n v="2"/>
    <n v="0"/>
    <m/>
    <n v="70.5"/>
  </r>
  <r>
    <x v="1366"/>
    <d v="2025-01-20T00:00:00"/>
    <x v="1"/>
    <x v="0"/>
    <x v="1"/>
    <x v="1"/>
    <s v="Basic"/>
    <n v="1"/>
    <n v="1"/>
    <n v="0"/>
    <n v="0"/>
    <n v="0"/>
    <n v="2"/>
    <n v="0"/>
    <m/>
    <n v="58.5"/>
  </r>
  <r>
    <x v="1367"/>
    <d v="2025-01-19T00:00:00"/>
    <x v="1"/>
    <x v="2"/>
    <x v="1"/>
    <x v="3"/>
    <s v="Free"/>
    <n v="1"/>
    <n v="0"/>
    <n v="0"/>
    <n v="0"/>
    <n v="0"/>
    <n v="0"/>
    <n v="0"/>
    <m/>
    <n v="65.599999999999994"/>
  </r>
  <r>
    <x v="1368"/>
    <d v="2025-03-07T00:00:00"/>
    <x v="1"/>
    <x v="1"/>
    <x v="0"/>
    <x v="2"/>
    <s v="Basic"/>
    <n v="1"/>
    <n v="1"/>
    <n v="0"/>
    <n v="0"/>
    <n v="0"/>
    <n v="0"/>
    <n v="0"/>
    <m/>
    <n v="62.7"/>
  </r>
  <r>
    <x v="1369"/>
    <d v="2025-02-02T00:00:00"/>
    <x v="1"/>
    <x v="2"/>
    <x v="1"/>
    <x v="1"/>
    <s v="Free"/>
    <n v="0"/>
    <n v="0"/>
    <n v="0"/>
    <n v="0"/>
    <n v="0"/>
    <n v="1"/>
    <n v="0"/>
    <m/>
    <n v="50.9"/>
  </r>
  <r>
    <x v="1370"/>
    <d v="2025-03-07T00:00:00"/>
    <x v="1"/>
    <x v="0"/>
    <x v="1"/>
    <x v="1"/>
    <s v="Free"/>
    <n v="0"/>
    <n v="0"/>
    <n v="0"/>
    <n v="0"/>
    <n v="0"/>
    <n v="1"/>
    <n v="0"/>
    <m/>
    <n v="60.6"/>
  </r>
  <r>
    <x v="1371"/>
    <d v="2025-03-30T00:00:00"/>
    <x v="1"/>
    <x v="2"/>
    <x v="0"/>
    <x v="1"/>
    <s v="Free"/>
    <n v="1"/>
    <n v="1"/>
    <n v="1"/>
    <n v="0"/>
    <n v="0"/>
    <n v="0"/>
    <n v="0"/>
    <m/>
    <n v="76.599999999999994"/>
  </r>
  <r>
    <x v="1372"/>
    <d v="2025-05-05T00:00:00"/>
    <x v="1"/>
    <x v="2"/>
    <x v="0"/>
    <x v="2"/>
    <s v="Free"/>
    <n v="1"/>
    <n v="1"/>
    <n v="1"/>
    <n v="0"/>
    <n v="0"/>
    <n v="0"/>
    <n v="0"/>
    <m/>
    <n v="54.4"/>
  </r>
  <r>
    <x v="1373"/>
    <d v="2025-04-11T00:00:00"/>
    <x v="1"/>
    <x v="3"/>
    <x v="1"/>
    <x v="4"/>
    <s v="Free"/>
    <n v="1"/>
    <n v="0"/>
    <n v="0"/>
    <n v="0"/>
    <n v="0"/>
    <n v="0"/>
    <n v="0"/>
    <m/>
    <n v="31.2"/>
  </r>
  <r>
    <x v="1374"/>
    <d v="2025-03-25T00:00:00"/>
    <x v="1"/>
    <x v="1"/>
    <x v="0"/>
    <x v="0"/>
    <s v="Premium"/>
    <n v="1"/>
    <n v="0"/>
    <n v="0"/>
    <n v="0"/>
    <n v="0"/>
    <n v="0"/>
    <n v="0"/>
    <m/>
    <n v="72.400000000000006"/>
  </r>
  <r>
    <x v="1375"/>
    <d v="2025-03-24T00:00:00"/>
    <x v="1"/>
    <x v="0"/>
    <x v="1"/>
    <x v="1"/>
    <s v="Premium"/>
    <n v="1"/>
    <n v="0"/>
    <n v="0"/>
    <n v="0"/>
    <n v="0"/>
    <n v="0"/>
    <n v="0"/>
    <m/>
    <n v="74.5"/>
  </r>
  <r>
    <x v="1376"/>
    <d v="2025-04-27T00:00:00"/>
    <x v="1"/>
    <x v="2"/>
    <x v="1"/>
    <x v="1"/>
    <s v="Basic"/>
    <n v="0"/>
    <n v="0"/>
    <n v="0"/>
    <n v="0"/>
    <n v="0"/>
    <n v="0"/>
    <n v="0"/>
    <m/>
    <n v="52.6"/>
  </r>
  <r>
    <x v="1377"/>
    <d v="2025-01-25T00:00:00"/>
    <x v="1"/>
    <x v="0"/>
    <x v="0"/>
    <x v="2"/>
    <s v="Free"/>
    <n v="1"/>
    <n v="0"/>
    <n v="0"/>
    <n v="0"/>
    <n v="0"/>
    <n v="0"/>
    <n v="0"/>
    <m/>
    <n v="75.400000000000006"/>
  </r>
  <r>
    <x v="1378"/>
    <d v="2025-02-17T00:00:00"/>
    <x v="1"/>
    <x v="0"/>
    <x v="2"/>
    <x v="4"/>
    <s v="Basic"/>
    <n v="1"/>
    <n v="1"/>
    <n v="1"/>
    <n v="1"/>
    <n v="751.33"/>
    <n v="0"/>
    <n v="0"/>
    <n v="9"/>
    <n v="34"/>
  </r>
  <r>
    <x v="1379"/>
    <d v="2025-04-13T00:00:00"/>
    <x v="1"/>
    <x v="3"/>
    <x v="0"/>
    <x v="1"/>
    <s v="Free"/>
    <n v="1"/>
    <n v="0"/>
    <n v="0"/>
    <n v="0"/>
    <n v="0"/>
    <n v="0"/>
    <n v="0"/>
    <m/>
    <n v="67.099999999999994"/>
  </r>
  <r>
    <x v="1380"/>
    <d v="2025-05-03T00:00:00"/>
    <x v="1"/>
    <x v="1"/>
    <x v="0"/>
    <x v="2"/>
    <s v="Premium"/>
    <n v="1"/>
    <n v="0"/>
    <n v="0"/>
    <n v="0"/>
    <n v="0"/>
    <n v="0"/>
    <n v="0"/>
    <m/>
    <n v="37.299999999999997"/>
  </r>
  <r>
    <x v="1381"/>
    <d v="2025-04-29T00:00:00"/>
    <x v="1"/>
    <x v="1"/>
    <x v="1"/>
    <x v="0"/>
    <s v="Free"/>
    <n v="1"/>
    <n v="0"/>
    <n v="0"/>
    <n v="0"/>
    <n v="0"/>
    <n v="0"/>
    <n v="0"/>
    <m/>
    <n v="54.7"/>
  </r>
  <r>
    <x v="1382"/>
    <d v="2025-05-03T00:00:00"/>
    <x v="1"/>
    <x v="2"/>
    <x v="0"/>
    <x v="2"/>
    <s v="Free"/>
    <n v="1"/>
    <n v="0"/>
    <n v="0"/>
    <n v="0"/>
    <n v="0"/>
    <n v="0"/>
    <n v="0"/>
    <m/>
    <n v="51.8"/>
  </r>
  <r>
    <x v="1383"/>
    <d v="2025-04-28T00:00:00"/>
    <x v="1"/>
    <x v="1"/>
    <x v="1"/>
    <x v="2"/>
    <s v="Free"/>
    <n v="0"/>
    <n v="0"/>
    <n v="0"/>
    <n v="0"/>
    <n v="0"/>
    <n v="0"/>
    <n v="0"/>
    <m/>
    <n v="49.2"/>
  </r>
  <r>
    <x v="1384"/>
    <d v="2025-01-21T00:00:00"/>
    <x v="1"/>
    <x v="1"/>
    <x v="1"/>
    <x v="1"/>
    <s v="Free"/>
    <n v="1"/>
    <n v="0"/>
    <n v="0"/>
    <n v="0"/>
    <n v="0"/>
    <n v="2"/>
    <n v="0"/>
    <m/>
    <n v="58.8"/>
  </r>
  <r>
    <x v="1385"/>
    <d v="2025-01-21T00:00:00"/>
    <x v="1"/>
    <x v="0"/>
    <x v="2"/>
    <x v="2"/>
    <s v="Basic"/>
    <n v="0"/>
    <n v="0"/>
    <n v="0"/>
    <n v="0"/>
    <n v="0"/>
    <n v="1"/>
    <n v="0"/>
    <m/>
    <n v="59.1"/>
  </r>
  <r>
    <x v="1386"/>
    <d v="2025-05-21T00:00:00"/>
    <x v="1"/>
    <x v="1"/>
    <x v="0"/>
    <x v="2"/>
    <s v="Free"/>
    <n v="1"/>
    <n v="0"/>
    <n v="0"/>
    <n v="0"/>
    <n v="0"/>
    <n v="2"/>
    <n v="0"/>
    <m/>
    <n v="49.6"/>
  </r>
  <r>
    <x v="1387"/>
    <d v="2025-01-05T00:00:00"/>
    <x v="1"/>
    <x v="0"/>
    <x v="1"/>
    <x v="3"/>
    <s v="Free"/>
    <n v="0"/>
    <n v="0"/>
    <n v="0"/>
    <n v="0"/>
    <n v="0"/>
    <n v="0"/>
    <n v="0"/>
    <m/>
    <n v="58.2"/>
  </r>
  <r>
    <x v="1388"/>
    <d v="2025-03-06T00:00:00"/>
    <x v="1"/>
    <x v="3"/>
    <x v="0"/>
    <x v="1"/>
    <s v="Free"/>
    <n v="1"/>
    <n v="0"/>
    <n v="0"/>
    <n v="0"/>
    <n v="0"/>
    <n v="0"/>
    <n v="0"/>
    <m/>
    <n v="66.8"/>
  </r>
  <r>
    <x v="1389"/>
    <d v="2025-04-18T00:00:00"/>
    <x v="1"/>
    <x v="0"/>
    <x v="1"/>
    <x v="2"/>
    <s v="Free"/>
    <n v="1"/>
    <n v="0"/>
    <n v="0"/>
    <n v="0"/>
    <n v="0"/>
    <n v="3"/>
    <n v="0"/>
    <m/>
    <n v="58.3"/>
  </r>
  <r>
    <x v="1390"/>
    <d v="2025-04-15T00:00:00"/>
    <x v="1"/>
    <x v="1"/>
    <x v="1"/>
    <x v="1"/>
    <s v="Basic"/>
    <n v="1"/>
    <n v="1"/>
    <n v="1"/>
    <n v="0"/>
    <n v="0"/>
    <n v="0"/>
    <n v="0"/>
    <m/>
    <n v="38.5"/>
  </r>
  <r>
    <x v="1391"/>
    <d v="2025-02-10T00:00:00"/>
    <x v="1"/>
    <x v="2"/>
    <x v="1"/>
    <x v="2"/>
    <s v="Free"/>
    <n v="1"/>
    <n v="0"/>
    <n v="0"/>
    <n v="0"/>
    <n v="0"/>
    <n v="0"/>
    <n v="0"/>
    <m/>
    <n v="76.900000000000006"/>
  </r>
  <r>
    <x v="1392"/>
    <d v="2025-05-08T00:00:00"/>
    <x v="1"/>
    <x v="2"/>
    <x v="1"/>
    <x v="1"/>
    <s v="Free"/>
    <n v="1"/>
    <n v="0"/>
    <n v="0"/>
    <n v="0"/>
    <n v="0"/>
    <n v="0"/>
    <n v="0"/>
    <m/>
    <n v="54"/>
  </r>
  <r>
    <x v="1393"/>
    <d v="2025-05-28T00:00:00"/>
    <x v="1"/>
    <x v="2"/>
    <x v="2"/>
    <x v="1"/>
    <s v="Free"/>
    <n v="1"/>
    <n v="0"/>
    <n v="0"/>
    <n v="0"/>
    <n v="0"/>
    <n v="0"/>
    <n v="0"/>
    <m/>
    <n v="70.599999999999994"/>
  </r>
  <r>
    <x v="1394"/>
    <d v="2025-04-25T00:00:00"/>
    <x v="1"/>
    <x v="0"/>
    <x v="2"/>
    <x v="3"/>
    <s v="Premium"/>
    <n v="1"/>
    <n v="1"/>
    <n v="1"/>
    <n v="0"/>
    <n v="0"/>
    <n v="1"/>
    <n v="0"/>
    <m/>
    <n v="69.400000000000006"/>
  </r>
  <r>
    <x v="1395"/>
    <d v="2025-02-11T00:00:00"/>
    <x v="1"/>
    <x v="3"/>
    <x v="1"/>
    <x v="5"/>
    <s v="Premium"/>
    <n v="1"/>
    <n v="1"/>
    <n v="1"/>
    <n v="1"/>
    <n v="1009.9"/>
    <n v="0"/>
    <n v="0"/>
    <n v="6"/>
    <n v="89.7"/>
  </r>
  <r>
    <x v="1396"/>
    <d v="2025-04-14T00:00:00"/>
    <x v="1"/>
    <x v="1"/>
    <x v="1"/>
    <x v="1"/>
    <s v="Free"/>
    <n v="1"/>
    <n v="0"/>
    <n v="0"/>
    <n v="0"/>
    <n v="0"/>
    <n v="0"/>
    <n v="0"/>
    <m/>
    <n v="62.4"/>
  </r>
  <r>
    <x v="1397"/>
    <d v="2025-02-04T00:00:00"/>
    <x v="1"/>
    <x v="1"/>
    <x v="2"/>
    <x v="1"/>
    <s v="Premium"/>
    <n v="0"/>
    <n v="0"/>
    <n v="0"/>
    <n v="0"/>
    <n v="0"/>
    <n v="0"/>
    <n v="0"/>
    <m/>
    <n v="67.3"/>
  </r>
  <r>
    <x v="1398"/>
    <d v="2025-03-22T00:00:00"/>
    <x v="1"/>
    <x v="2"/>
    <x v="1"/>
    <x v="3"/>
    <s v="Free"/>
    <n v="1"/>
    <n v="0"/>
    <n v="0"/>
    <n v="0"/>
    <n v="0"/>
    <n v="0"/>
    <n v="0"/>
    <m/>
    <n v="54.9"/>
  </r>
  <r>
    <x v="1399"/>
    <d v="2025-04-18T00:00:00"/>
    <x v="1"/>
    <x v="2"/>
    <x v="0"/>
    <x v="4"/>
    <s v="Free"/>
    <n v="0"/>
    <n v="0"/>
    <n v="0"/>
    <n v="0"/>
    <n v="0"/>
    <n v="0"/>
    <n v="0"/>
    <m/>
    <n v="55.7"/>
  </r>
  <r>
    <x v="916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x v="432"/>
    <d v="2025-02-03T00:00:00"/>
    <x v="0"/>
    <x v="0"/>
    <x v="2"/>
    <x v="0"/>
    <s v="Basic"/>
    <n v="1"/>
    <n v="0"/>
    <n v="0"/>
    <n v="0"/>
    <n v="0"/>
    <n v="0"/>
    <n v="0"/>
    <m/>
    <n v="60.9"/>
  </r>
  <r>
    <x v="1361"/>
    <d v="2025-05-23T00:00:00"/>
    <x v="1"/>
    <x v="2"/>
    <x v="1"/>
    <x v="1"/>
    <s v="Basic"/>
    <n v="1"/>
    <n v="0"/>
    <n v="0"/>
    <n v="0"/>
    <n v="0"/>
    <n v="0"/>
    <n v="0"/>
    <m/>
    <n v="33.6"/>
  </r>
  <r>
    <x v="95"/>
    <d v="2025-02-05T00:00:00"/>
    <x v="0"/>
    <x v="2"/>
    <x v="1"/>
    <x v="4"/>
    <s v="Free"/>
    <n v="0"/>
    <n v="0"/>
    <n v="0"/>
    <n v="0"/>
    <n v="0"/>
    <n v="0"/>
    <n v="0"/>
    <m/>
    <n v="68"/>
  </r>
  <r>
    <x v="1209"/>
    <d v="2025-02-24T00:00:00"/>
    <x v="1"/>
    <x v="1"/>
    <x v="1"/>
    <x v="1"/>
    <s v="Basic"/>
    <n v="1"/>
    <n v="0"/>
    <n v="0"/>
    <n v="0"/>
    <n v="0"/>
    <n v="0"/>
    <n v="0"/>
    <m/>
    <n v="62"/>
  </r>
  <r>
    <x v="1231"/>
    <d v="2025-03-30T00:00:00"/>
    <x v="1"/>
    <x v="2"/>
    <x v="1"/>
    <x v="1"/>
    <s v="Free"/>
    <n v="1"/>
    <n v="1"/>
    <n v="1"/>
    <n v="0"/>
    <n v="0"/>
    <n v="1"/>
    <n v="0"/>
    <m/>
    <n v="72.5"/>
  </r>
  <r>
    <x v="1058"/>
    <d v="2025-05-16T00:00:00"/>
    <x v="1"/>
    <x v="3"/>
    <x v="1"/>
    <x v="1"/>
    <s v="Free"/>
    <n v="1"/>
    <n v="0"/>
    <n v="0"/>
    <n v="0"/>
    <n v="0"/>
    <n v="0"/>
    <n v="0"/>
    <m/>
    <n v="70.3"/>
  </r>
  <r>
    <x v="540"/>
    <d v="2025-05-22T00:00:00"/>
    <x v="0"/>
    <x v="0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6830E-AD57-4A1D-A2BA-BDF919ECE27E}" name="PivotTable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:H5" firstHeaderRow="1" firstDataRow="1" firstDataCol="1"/>
  <pivotFields count="16">
    <pivotField dataField="1" compact="0" outline="0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compact="0" numFmtId="14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EC641-5FD5-4CCE-B762-11A8512E0FCA}" name="PivotTable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7" firstHeaderRow="1" firstDataRow="2" firstDataCol="1"/>
  <pivotFields count="16">
    <pivotField compact="0" outline="0" showAll="0"/>
    <pivotField compact="0" numFmtId="14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nverted_to_paid" fld="10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D952C-979F-4CB5-A710-D4E97FB54230}" name="PivotTable3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1:D29" firstHeaderRow="1" firstDataRow="2" firstDataCol="1"/>
  <pivotFields count="16">
    <pivotField compact="0" outline="0" showAll="0"/>
    <pivotField compact="0" numFmtId="1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nverted_to_paid" fld="10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67880-7C1A-4FC0-8543-E720CC907682}" name="PivotTable2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:D17" firstHeaderRow="1" firstDataRow="2" firstDataCol="1"/>
  <pivotFields count="16">
    <pivotField compact="0" outline="0" showAll="0"/>
    <pivotField compact="0" numFmtId="1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nverted_to_paid" fld="10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09"/>
  <sheetViews>
    <sheetView topLeftCell="H1" workbookViewId="0">
      <selection activeCell="Q1" sqref="Q1"/>
    </sheetView>
  </sheetViews>
  <sheetFormatPr defaultRowHeight="15"/>
  <cols>
    <col min="1" max="1" width="14.42578125" customWidth="1"/>
    <col min="2" max="2" width="24.5703125" customWidth="1"/>
    <col min="3" max="3" width="18.42578125" customWidth="1"/>
    <col min="4" max="4" width="15.7109375" customWidth="1"/>
    <col min="5" max="5" width="19.7109375" customWidth="1"/>
    <col min="6" max="6" width="22.140625" customWidth="1"/>
    <col min="7" max="7" width="19.28515625" customWidth="1"/>
    <col min="8" max="8" width="22.140625" customWidth="1"/>
    <col min="9" max="9" width="18.5703125" customWidth="1"/>
    <col min="10" max="10" width="18.85546875" customWidth="1"/>
    <col min="11" max="11" width="20" customWidth="1"/>
    <col min="12" max="12" width="15.140625" customWidth="1"/>
    <col min="13" max="13" width="21.85546875" customWidth="1"/>
    <col min="14" max="14" width="15.5703125" customWidth="1"/>
    <col min="15" max="15" width="18" customWidth="1"/>
    <col min="16" max="16" width="20.140625" customWidth="1"/>
    <col min="20" max="20" width="36.5703125" bestFit="1" customWidth="1"/>
  </cols>
  <sheetData>
    <row r="1" spans="1:20" ht="5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20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20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20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  <c r="T5" s="13"/>
    </row>
    <row r="6" spans="1:20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20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20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20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20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20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20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20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20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20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20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E125" s="2"/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/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/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>
      <c r="A463" s="2" t="s">
        <v>493</v>
      </c>
      <c r="B463" s="3">
        <v>45796</v>
      </c>
      <c r="C463" s="2" t="s">
        <v>17</v>
      </c>
      <c r="D463" s="2" t="s">
        <v>18</v>
      </c>
      <c r="E463" s="2"/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/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>
      <c r="A483" s="2" t="s">
        <v>513</v>
      </c>
      <c r="B483" s="3">
        <v>45701</v>
      </c>
      <c r="C483" s="2" t="s">
        <v>17</v>
      </c>
      <c r="D483" s="2" t="s">
        <v>18</v>
      </c>
      <c r="E483" s="2"/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/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>
      <c r="A552" s="2" t="s">
        <v>582</v>
      </c>
      <c r="B552" s="3">
        <v>45699</v>
      </c>
      <c r="C552" s="2" t="s">
        <v>17</v>
      </c>
      <c r="D552" s="2" t="s">
        <v>28</v>
      </c>
      <c r="E552" s="2"/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>
      <c r="A556" s="2" t="s">
        <v>586</v>
      </c>
      <c r="B556" s="3">
        <v>45699</v>
      </c>
      <c r="C556" s="2" t="s">
        <v>17</v>
      </c>
      <c r="D556" s="2" t="s">
        <v>32</v>
      </c>
      <c r="E556" s="2"/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/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>
      <c r="A674" s="2" t="s">
        <v>704</v>
      </c>
      <c r="B674" s="3">
        <v>45667</v>
      </c>
      <c r="C674" s="2" t="s">
        <v>17</v>
      </c>
      <c r="D674" s="2" t="s">
        <v>23</v>
      </c>
      <c r="E674" s="2"/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>
      <c r="A675" s="2" t="s">
        <v>705</v>
      </c>
      <c r="B675" s="3">
        <v>45737</v>
      </c>
      <c r="C675" s="2" t="s">
        <v>17</v>
      </c>
      <c r="D675" s="2" t="s">
        <v>32</v>
      </c>
      <c r="E675" s="2"/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/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/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/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/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>
      <c r="A767" s="2" t="s">
        <v>798</v>
      </c>
      <c r="B767" s="3">
        <v>45671</v>
      </c>
      <c r="C767" s="2" t="s">
        <v>723</v>
      </c>
      <c r="D767" s="2" t="s">
        <v>23</v>
      </c>
      <c r="E767" s="2"/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>
      <c r="A874" s="2" t="s">
        <v>905</v>
      </c>
      <c r="B874" s="3">
        <v>45769</v>
      </c>
      <c r="C874" s="2" t="s">
        <v>723</v>
      </c>
      <c r="D874" s="2" t="s">
        <v>23</v>
      </c>
      <c r="E874" s="2"/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F899" s="2"/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/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F953" s="2"/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/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F1019" s="2"/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/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>
      <c r="A1049" s="2" t="s">
        <v>1080</v>
      </c>
      <c r="B1049" s="3">
        <v>45708</v>
      </c>
      <c r="C1049" s="2" t="s">
        <v>723</v>
      </c>
      <c r="D1049" s="2" t="s">
        <v>28</v>
      </c>
      <c r="E1049" s="2"/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F1135" s="2"/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F1149" s="2"/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>
      <c r="A1178" s="2" t="s">
        <v>1209</v>
      </c>
      <c r="B1178" s="3">
        <v>45692</v>
      </c>
      <c r="C1178" s="2" t="s">
        <v>723</v>
      </c>
      <c r="D1178" s="2" t="s">
        <v>28</v>
      </c>
      <c r="E1178" s="2"/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>
      <c r="A1190" s="2" t="s">
        <v>1221</v>
      </c>
      <c r="B1190" s="3">
        <v>45763</v>
      </c>
      <c r="C1190" s="2" t="s">
        <v>723</v>
      </c>
      <c r="D1190" s="2" t="s">
        <v>28</v>
      </c>
      <c r="E1190" s="2"/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>
      <c r="A1197" s="2" t="s">
        <v>1228</v>
      </c>
      <c r="B1197" s="3">
        <v>45710</v>
      </c>
      <c r="C1197" s="2" t="s">
        <v>723</v>
      </c>
      <c r="D1197" s="2" t="s">
        <v>18</v>
      </c>
      <c r="E1197" s="2"/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>
      <c r="A1229" s="2" t="s">
        <v>1260</v>
      </c>
      <c r="B1229" s="3">
        <v>45739</v>
      </c>
      <c r="C1229" s="2" t="s">
        <v>723</v>
      </c>
      <c r="D1229" s="2" t="s">
        <v>28</v>
      </c>
      <c r="E1229" s="2"/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F1237" s="2"/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F1241" s="2"/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F1257" s="2"/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>
      <c r="A1272" s="2" t="s">
        <v>1303</v>
      </c>
      <c r="B1272" s="3">
        <v>45691</v>
      </c>
      <c r="C1272" s="2" t="s">
        <v>723</v>
      </c>
      <c r="D1272" s="2" t="s">
        <v>23</v>
      </c>
      <c r="E1272" s="2"/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/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F1329" s="2"/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>
      <c r="A1336" s="2" t="s">
        <v>1367</v>
      </c>
      <c r="B1336" s="3">
        <v>45763</v>
      </c>
      <c r="C1336" s="2" t="s">
        <v>723</v>
      </c>
      <c r="D1336" s="2" t="s">
        <v>32</v>
      </c>
      <c r="E1336" s="2"/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F1357" s="2"/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F1397" s="2"/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  <row r="1402" spans="1:16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70.599999999999994</v>
      </c>
    </row>
    <row r="1403" spans="1:16">
      <c r="A1403" s="2" t="s">
        <v>464</v>
      </c>
      <c r="B1403" s="3">
        <v>45691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60.9</v>
      </c>
    </row>
    <row r="1404" spans="1:16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33.6</v>
      </c>
    </row>
    <row r="1405" spans="1:16">
      <c r="A1405" s="2" t="s">
        <v>127</v>
      </c>
      <c r="B1405" s="3">
        <v>45693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68</v>
      </c>
    </row>
    <row r="1406" spans="1:16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/>
      <c r="P1406" s="2">
        <v>62</v>
      </c>
    </row>
    <row r="1407" spans="1:16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/>
      <c r="P1407" s="2">
        <v>72.5</v>
      </c>
    </row>
    <row r="1408" spans="1:16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70.3</v>
      </c>
    </row>
    <row r="1409" spans="1:16">
      <c r="A1409" s="2" t="s">
        <v>572</v>
      </c>
      <c r="B1409" s="3">
        <v>45799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49DF-B640-4CA3-8A43-A9F3CD3142E8}">
  <dimension ref="A1:K1409"/>
  <sheetViews>
    <sheetView workbookViewId="0">
      <selection activeCell="K1" sqref="K1"/>
    </sheetView>
  </sheetViews>
  <sheetFormatPr defaultRowHeight="15"/>
  <cols>
    <col min="1" max="1" width="21" customWidth="1"/>
    <col min="2" max="2" width="20.28515625" customWidth="1"/>
    <col min="7" max="7" width="20.5703125" bestFit="1" customWidth="1"/>
    <col min="8" max="9" width="15.5703125" bestFit="1" customWidth="1"/>
    <col min="10" max="10" width="14.85546875" customWidth="1"/>
  </cols>
  <sheetData>
    <row r="1" spans="1:11" ht="30.75">
      <c r="A1" s="5" t="s">
        <v>1433</v>
      </c>
      <c r="B1" s="5" t="s">
        <v>1434</v>
      </c>
      <c r="D1" s="5" t="s">
        <v>1435</v>
      </c>
      <c r="E1" t="s">
        <v>1436</v>
      </c>
      <c r="J1" s="5" t="s">
        <v>1437</v>
      </c>
      <c r="K1" s="5">
        <f>COUNTA(Raw_Data!A1:A1408)-COUNTA(_xlfn.UNIQUE(Raw_Data!A1:A1408))</f>
        <v>7</v>
      </c>
    </row>
    <row r="2" spans="1:11">
      <c r="A2" s="5" t="s">
        <v>0</v>
      </c>
      <c r="B2" s="5">
        <f>COUNTBLANK(Raw_Data!A2:A1409)</f>
        <v>0</v>
      </c>
      <c r="E2">
        <f>COUNTIF(Raw_Data!A:A,Raw_Data!A2)</f>
        <v>1</v>
      </c>
      <c r="G2" s="6" t="s">
        <v>2</v>
      </c>
      <c r="H2" t="s">
        <v>1438</v>
      </c>
      <c r="J2" s="5"/>
      <c r="K2" s="5"/>
    </row>
    <row r="3" spans="1:11">
      <c r="A3" s="5" t="s">
        <v>1</v>
      </c>
      <c r="B3" s="5">
        <f>COUNTBLANK(Raw_Data!B2:B1409)</f>
        <v>0</v>
      </c>
      <c r="E3">
        <f>COUNTIF(Raw_Data!A:A,Raw_Data!A3)</f>
        <v>1</v>
      </c>
      <c r="G3" t="s">
        <v>17</v>
      </c>
      <c r="H3" s="7">
        <v>693</v>
      </c>
    </row>
    <row r="4" spans="1:11">
      <c r="A4" s="5" t="s">
        <v>2</v>
      </c>
      <c r="B4" s="5">
        <f>COUNTBLANK(Raw_Data!C2:C1409)</f>
        <v>0</v>
      </c>
      <c r="E4">
        <f>COUNTIF(Raw_Data!A:A,Raw_Data!A4)</f>
        <v>1</v>
      </c>
      <c r="G4" t="s">
        <v>723</v>
      </c>
      <c r="H4" s="7">
        <v>715</v>
      </c>
    </row>
    <row r="5" spans="1:11">
      <c r="A5" s="5" t="s">
        <v>3</v>
      </c>
      <c r="B5" s="5">
        <f>COUNTBLANK(Raw_Data!D2:D1409)</f>
        <v>0</v>
      </c>
      <c r="E5">
        <f>COUNTIF(Raw_Data!A:A,Raw_Data!A5)</f>
        <v>1</v>
      </c>
      <c r="G5" t="s">
        <v>1439</v>
      </c>
      <c r="H5" s="7">
        <v>1408</v>
      </c>
    </row>
    <row r="6" spans="1:11">
      <c r="A6" s="5" t="s">
        <v>4</v>
      </c>
      <c r="B6" s="5">
        <f>COUNTBLANK(Raw_Data!E2:E1409)</f>
        <v>18</v>
      </c>
      <c r="E6">
        <f>COUNTIF(Raw_Data!A:A,Raw_Data!A6)</f>
        <v>1</v>
      </c>
    </row>
    <row r="7" spans="1:11">
      <c r="A7" s="5" t="s">
        <v>5</v>
      </c>
      <c r="B7" s="5">
        <f>COUNTBLANK(Raw_Data!F2:F1409)</f>
        <v>24</v>
      </c>
      <c r="E7">
        <f>COUNTIF(Raw_Data!A:A,Raw_Data!A7)</f>
        <v>1</v>
      </c>
    </row>
    <row r="8" spans="1:11">
      <c r="A8" s="5" t="s">
        <v>6</v>
      </c>
      <c r="B8" s="5">
        <f>COUNTBLANK(Raw_Data!G2:G1409)</f>
        <v>0</v>
      </c>
      <c r="E8">
        <f>COUNTIF(Raw_Data!A:A,Raw_Data!A8)</f>
        <v>1</v>
      </c>
    </row>
    <row r="9" spans="1:11">
      <c r="A9" s="5" t="s">
        <v>7</v>
      </c>
      <c r="B9" s="5">
        <f>COUNTBLANK(Raw_Data!H2:H1409)</f>
        <v>0</v>
      </c>
      <c r="E9">
        <f>COUNTIF(Raw_Data!A:A,Raw_Data!A9)</f>
        <v>1</v>
      </c>
    </row>
    <row r="10" spans="1:11">
      <c r="A10" s="5" t="s">
        <v>8</v>
      </c>
      <c r="B10" s="5">
        <f>COUNTBLANK(Raw_Data!I2:I1409)</f>
        <v>0</v>
      </c>
      <c r="E10">
        <f>COUNTIF(Raw_Data!A:A,Raw_Data!A10)</f>
        <v>1</v>
      </c>
    </row>
    <row r="11" spans="1:11" ht="30.75">
      <c r="A11" s="5" t="s">
        <v>9</v>
      </c>
      <c r="B11" s="5">
        <f>COUNTBLANK(Raw_Data!J2:J1409)</f>
        <v>0</v>
      </c>
      <c r="E11">
        <f>COUNTIF(Raw_Data!A:A,Raw_Data!A11)</f>
        <v>1</v>
      </c>
    </row>
    <row r="12" spans="1:11">
      <c r="A12" s="5" t="s">
        <v>10</v>
      </c>
      <c r="B12" s="5">
        <f>COUNTBLANK(Raw_Data!K2:K1409)</f>
        <v>0</v>
      </c>
      <c r="E12">
        <f>COUNTIF(Raw_Data!A:A,Raw_Data!A12)</f>
        <v>1</v>
      </c>
    </row>
    <row r="13" spans="1:11">
      <c r="A13" s="5" t="s">
        <v>11</v>
      </c>
      <c r="B13" s="5">
        <f>COUNTBLANK(Raw_Data!L2:L1409)</f>
        <v>0</v>
      </c>
      <c r="E13">
        <f>COUNTIF(Raw_Data!A:A,Raw_Data!A13)</f>
        <v>1</v>
      </c>
    </row>
    <row r="14" spans="1:11">
      <c r="A14" s="5" t="s">
        <v>12</v>
      </c>
      <c r="B14" s="5">
        <f>COUNTBLANK(Raw_Data!M2:M1409)</f>
        <v>0</v>
      </c>
      <c r="E14">
        <f>COUNTIF(Raw_Data!A:A,Raw_Data!A14)</f>
        <v>1</v>
      </c>
    </row>
    <row r="15" spans="1:11">
      <c r="A15" s="5" t="s">
        <v>13</v>
      </c>
      <c r="B15" s="5">
        <f>COUNTBLANK(Raw_Data!N2:N1409)</f>
        <v>0</v>
      </c>
      <c r="E15">
        <f>COUNTIF(Raw_Data!A:A,Raw_Data!A15)</f>
        <v>1</v>
      </c>
    </row>
    <row r="16" spans="1:11">
      <c r="A16" s="5" t="s">
        <v>14</v>
      </c>
      <c r="B16" s="5">
        <f>COUNTBLANK(Raw_Data!O2:O1409)</f>
        <v>1336</v>
      </c>
      <c r="E16">
        <f>COUNTIF(Raw_Data!A:A,Raw_Data!A16)</f>
        <v>1</v>
      </c>
    </row>
    <row r="17" spans="1:5">
      <c r="A17" s="5" t="s">
        <v>15</v>
      </c>
      <c r="B17">
        <f>COUNTBLANK(Raw_Data!P2:P1409)</f>
        <v>14</v>
      </c>
      <c r="E17">
        <f>COUNTIF(Raw_Data!A:A,Raw_Data!A17)</f>
        <v>1</v>
      </c>
    </row>
    <row r="18" spans="1:5">
      <c r="A18" s="5"/>
      <c r="E18">
        <f>COUNTIF(Raw_Data!A:A,Raw_Data!A18)</f>
        <v>1</v>
      </c>
    </row>
    <row r="19" spans="1:5">
      <c r="E19">
        <f>COUNTIF(Raw_Data!A:A,Raw_Data!A19)</f>
        <v>1</v>
      </c>
    </row>
    <row r="20" spans="1:5">
      <c r="E20">
        <f>COUNTIF(Raw_Data!A:A,Raw_Data!A20)</f>
        <v>1</v>
      </c>
    </row>
    <row r="21" spans="1:5">
      <c r="E21">
        <f>COUNTIF(Raw_Data!A:A,Raw_Data!A21)</f>
        <v>1</v>
      </c>
    </row>
    <row r="22" spans="1:5">
      <c r="E22">
        <f>COUNTIF(Raw_Data!A:A,Raw_Data!A22)</f>
        <v>1</v>
      </c>
    </row>
    <row r="23" spans="1:5">
      <c r="E23">
        <f>COUNTIF(Raw_Data!A:A,Raw_Data!A23)</f>
        <v>1</v>
      </c>
    </row>
    <row r="24" spans="1:5">
      <c r="E24">
        <f>COUNTIF(Raw_Data!A:A,Raw_Data!A24)</f>
        <v>1</v>
      </c>
    </row>
    <row r="25" spans="1:5">
      <c r="E25">
        <f>COUNTIF(Raw_Data!A:A,Raw_Data!A25)</f>
        <v>1</v>
      </c>
    </row>
    <row r="26" spans="1:5">
      <c r="E26">
        <f>COUNTIF(Raw_Data!A:A,Raw_Data!A26)</f>
        <v>1</v>
      </c>
    </row>
    <row r="27" spans="1:5">
      <c r="E27">
        <f>COUNTIF(Raw_Data!A:A,Raw_Data!A27)</f>
        <v>1</v>
      </c>
    </row>
    <row r="28" spans="1:5">
      <c r="E28">
        <f>COUNTIF(Raw_Data!A:A,Raw_Data!A28)</f>
        <v>1</v>
      </c>
    </row>
    <row r="29" spans="1:5">
      <c r="E29">
        <f>COUNTIF(Raw_Data!A:A,Raw_Data!A29)</f>
        <v>1</v>
      </c>
    </row>
    <row r="30" spans="1:5">
      <c r="E30">
        <f>COUNTIF(Raw_Data!A:A,Raw_Data!A30)</f>
        <v>1</v>
      </c>
    </row>
    <row r="31" spans="1:5">
      <c r="E31">
        <f>COUNTIF(Raw_Data!A:A,Raw_Data!A31)</f>
        <v>1</v>
      </c>
    </row>
    <row r="32" spans="1:5">
      <c r="E32">
        <f>COUNTIF(Raw_Data!A:A,Raw_Data!A32)</f>
        <v>1</v>
      </c>
    </row>
    <row r="33" spans="5:5">
      <c r="E33">
        <f>COUNTIF(Raw_Data!A:A,Raw_Data!A33)</f>
        <v>1</v>
      </c>
    </row>
    <row r="34" spans="5:5">
      <c r="E34">
        <f>COUNTIF(Raw_Data!A:A,Raw_Data!A34)</f>
        <v>1</v>
      </c>
    </row>
    <row r="35" spans="5:5">
      <c r="E35">
        <f>COUNTIF(Raw_Data!A:A,Raw_Data!A35)</f>
        <v>1</v>
      </c>
    </row>
    <row r="36" spans="5:5">
      <c r="E36">
        <f>COUNTIF(Raw_Data!A:A,Raw_Data!A36)</f>
        <v>1</v>
      </c>
    </row>
    <row r="37" spans="5:5">
      <c r="E37">
        <f>COUNTIF(Raw_Data!A:A,Raw_Data!A37)</f>
        <v>1</v>
      </c>
    </row>
    <row r="38" spans="5:5">
      <c r="E38">
        <f>COUNTIF(Raw_Data!A:A,Raw_Data!A38)</f>
        <v>1</v>
      </c>
    </row>
    <row r="39" spans="5:5">
      <c r="E39">
        <f>COUNTIF(Raw_Data!A:A,Raw_Data!A39)</f>
        <v>1</v>
      </c>
    </row>
    <row r="40" spans="5:5">
      <c r="E40">
        <f>COUNTIF(Raw_Data!A:A,Raw_Data!A40)</f>
        <v>1</v>
      </c>
    </row>
    <row r="41" spans="5:5">
      <c r="E41">
        <f>COUNTIF(Raw_Data!A:A,Raw_Data!A41)</f>
        <v>1</v>
      </c>
    </row>
    <row r="42" spans="5:5">
      <c r="E42">
        <f>COUNTIF(Raw_Data!A:A,Raw_Data!A42)</f>
        <v>1</v>
      </c>
    </row>
    <row r="43" spans="5:5">
      <c r="E43">
        <f>COUNTIF(Raw_Data!A:A,Raw_Data!A43)</f>
        <v>1</v>
      </c>
    </row>
    <row r="44" spans="5:5">
      <c r="E44">
        <f>COUNTIF(Raw_Data!A:A,Raw_Data!A44)</f>
        <v>1</v>
      </c>
    </row>
    <row r="45" spans="5:5">
      <c r="E45">
        <f>COUNTIF(Raw_Data!A:A,Raw_Data!A45)</f>
        <v>1</v>
      </c>
    </row>
    <row r="46" spans="5:5">
      <c r="E46">
        <f>COUNTIF(Raw_Data!A:A,Raw_Data!A46)</f>
        <v>1</v>
      </c>
    </row>
    <row r="47" spans="5:5">
      <c r="E47">
        <f>COUNTIF(Raw_Data!A:A,Raw_Data!A47)</f>
        <v>1</v>
      </c>
    </row>
    <row r="48" spans="5:5">
      <c r="E48">
        <f>COUNTIF(Raw_Data!A:A,Raw_Data!A48)</f>
        <v>1</v>
      </c>
    </row>
    <row r="49" spans="5:5">
      <c r="E49">
        <f>COUNTIF(Raw_Data!A:A,Raw_Data!A49)</f>
        <v>1</v>
      </c>
    </row>
    <row r="50" spans="5:5">
      <c r="E50">
        <f>COUNTIF(Raw_Data!A:A,Raw_Data!A50)</f>
        <v>1</v>
      </c>
    </row>
    <row r="51" spans="5:5">
      <c r="E51">
        <f>COUNTIF(Raw_Data!A:A,Raw_Data!A51)</f>
        <v>1</v>
      </c>
    </row>
    <row r="52" spans="5:5">
      <c r="E52">
        <f>COUNTIF(Raw_Data!A:A,Raw_Data!A52)</f>
        <v>1</v>
      </c>
    </row>
    <row r="53" spans="5:5">
      <c r="E53">
        <f>COUNTIF(Raw_Data!A:A,Raw_Data!A53)</f>
        <v>1</v>
      </c>
    </row>
    <row r="54" spans="5:5">
      <c r="E54">
        <f>COUNTIF(Raw_Data!A:A,Raw_Data!A54)</f>
        <v>1</v>
      </c>
    </row>
    <row r="55" spans="5:5">
      <c r="E55">
        <f>COUNTIF(Raw_Data!A:A,Raw_Data!A55)</f>
        <v>1</v>
      </c>
    </row>
    <row r="56" spans="5:5">
      <c r="E56">
        <f>COUNTIF(Raw_Data!A:A,Raw_Data!A56)</f>
        <v>1</v>
      </c>
    </row>
    <row r="57" spans="5:5">
      <c r="E57">
        <f>COUNTIF(Raw_Data!A:A,Raw_Data!A57)</f>
        <v>1</v>
      </c>
    </row>
    <row r="58" spans="5:5">
      <c r="E58">
        <f>COUNTIF(Raw_Data!A:A,Raw_Data!A58)</f>
        <v>1</v>
      </c>
    </row>
    <row r="59" spans="5:5">
      <c r="E59">
        <f>COUNTIF(Raw_Data!A:A,Raw_Data!A59)</f>
        <v>1</v>
      </c>
    </row>
    <row r="60" spans="5:5">
      <c r="E60">
        <f>COUNTIF(Raw_Data!A:A,Raw_Data!A60)</f>
        <v>1</v>
      </c>
    </row>
    <row r="61" spans="5:5">
      <c r="E61">
        <f>COUNTIF(Raw_Data!A:A,Raw_Data!A61)</f>
        <v>1</v>
      </c>
    </row>
    <row r="62" spans="5:5">
      <c r="E62">
        <f>COUNTIF(Raw_Data!A:A,Raw_Data!A62)</f>
        <v>1</v>
      </c>
    </row>
    <row r="63" spans="5:5">
      <c r="E63">
        <f>COUNTIF(Raw_Data!A:A,Raw_Data!A63)</f>
        <v>1</v>
      </c>
    </row>
    <row r="64" spans="5:5">
      <c r="E64">
        <f>COUNTIF(Raw_Data!A:A,Raw_Data!A64)</f>
        <v>1</v>
      </c>
    </row>
    <row r="65" spans="5:5">
      <c r="E65">
        <f>COUNTIF(Raw_Data!A:A,Raw_Data!A65)</f>
        <v>1</v>
      </c>
    </row>
    <row r="66" spans="5:5">
      <c r="E66">
        <f>COUNTIF(Raw_Data!A:A,Raw_Data!A66)</f>
        <v>1</v>
      </c>
    </row>
    <row r="67" spans="5:5">
      <c r="E67">
        <f>COUNTIF(Raw_Data!A:A,Raw_Data!A67)</f>
        <v>1</v>
      </c>
    </row>
    <row r="68" spans="5:5">
      <c r="E68">
        <f>COUNTIF(Raw_Data!A:A,Raw_Data!A68)</f>
        <v>1</v>
      </c>
    </row>
    <row r="69" spans="5:5">
      <c r="E69">
        <f>COUNTIF(Raw_Data!A:A,Raw_Data!A69)</f>
        <v>1</v>
      </c>
    </row>
    <row r="70" spans="5:5">
      <c r="E70">
        <f>COUNTIF(Raw_Data!A:A,Raw_Data!A70)</f>
        <v>1</v>
      </c>
    </row>
    <row r="71" spans="5:5">
      <c r="E71">
        <f>COUNTIF(Raw_Data!A:A,Raw_Data!A71)</f>
        <v>1</v>
      </c>
    </row>
    <row r="72" spans="5:5">
      <c r="E72">
        <f>COUNTIF(Raw_Data!A:A,Raw_Data!A72)</f>
        <v>1</v>
      </c>
    </row>
    <row r="73" spans="5:5">
      <c r="E73">
        <f>COUNTIF(Raw_Data!A:A,Raw_Data!A73)</f>
        <v>1</v>
      </c>
    </row>
    <row r="74" spans="5:5">
      <c r="E74">
        <f>COUNTIF(Raw_Data!A:A,Raw_Data!A74)</f>
        <v>1</v>
      </c>
    </row>
    <row r="75" spans="5:5">
      <c r="E75">
        <f>COUNTIF(Raw_Data!A:A,Raw_Data!A75)</f>
        <v>1</v>
      </c>
    </row>
    <row r="76" spans="5:5">
      <c r="E76">
        <f>COUNTIF(Raw_Data!A:A,Raw_Data!A76)</f>
        <v>1</v>
      </c>
    </row>
    <row r="77" spans="5:5">
      <c r="E77">
        <f>COUNTIF(Raw_Data!A:A,Raw_Data!A77)</f>
        <v>1</v>
      </c>
    </row>
    <row r="78" spans="5:5">
      <c r="E78">
        <f>COUNTIF(Raw_Data!A:A,Raw_Data!A78)</f>
        <v>1</v>
      </c>
    </row>
    <row r="79" spans="5:5">
      <c r="E79">
        <f>COUNTIF(Raw_Data!A:A,Raw_Data!A79)</f>
        <v>1</v>
      </c>
    </row>
    <row r="80" spans="5:5">
      <c r="E80">
        <f>COUNTIF(Raw_Data!A:A,Raw_Data!A80)</f>
        <v>1</v>
      </c>
    </row>
    <row r="81" spans="5:5">
      <c r="E81">
        <f>COUNTIF(Raw_Data!A:A,Raw_Data!A81)</f>
        <v>1</v>
      </c>
    </row>
    <row r="82" spans="5:5">
      <c r="E82">
        <f>COUNTIF(Raw_Data!A:A,Raw_Data!A82)</f>
        <v>1</v>
      </c>
    </row>
    <row r="83" spans="5:5">
      <c r="E83">
        <f>COUNTIF(Raw_Data!A:A,Raw_Data!A83)</f>
        <v>1</v>
      </c>
    </row>
    <row r="84" spans="5:5">
      <c r="E84">
        <f>COUNTIF(Raw_Data!A:A,Raw_Data!A84)</f>
        <v>1</v>
      </c>
    </row>
    <row r="85" spans="5:5">
      <c r="E85">
        <f>COUNTIF(Raw_Data!A:A,Raw_Data!A85)</f>
        <v>1</v>
      </c>
    </row>
    <row r="86" spans="5:5">
      <c r="E86">
        <f>COUNTIF(Raw_Data!A:A,Raw_Data!A86)</f>
        <v>1</v>
      </c>
    </row>
    <row r="87" spans="5:5">
      <c r="E87">
        <f>COUNTIF(Raw_Data!A:A,Raw_Data!A87)</f>
        <v>1</v>
      </c>
    </row>
    <row r="88" spans="5:5">
      <c r="E88">
        <f>COUNTIF(Raw_Data!A:A,Raw_Data!A88)</f>
        <v>1</v>
      </c>
    </row>
    <row r="89" spans="5:5">
      <c r="E89">
        <f>COUNTIF(Raw_Data!A:A,Raw_Data!A89)</f>
        <v>1</v>
      </c>
    </row>
    <row r="90" spans="5:5">
      <c r="E90">
        <f>COUNTIF(Raw_Data!A:A,Raw_Data!A90)</f>
        <v>1</v>
      </c>
    </row>
    <row r="91" spans="5:5">
      <c r="E91">
        <f>COUNTIF(Raw_Data!A:A,Raw_Data!A91)</f>
        <v>1</v>
      </c>
    </row>
    <row r="92" spans="5:5">
      <c r="E92">
        <f>COUNTIF(Raw_Data!A:A,Raw_Data!A92)</f>
        <v>1</v>
      </c>
    </row>
    <row r="93" spans="5:5">
      <c r="E93">
        <f>COUNTIF(Raw_Data!A:A,Raw_Data!A93)</f>
        <v>1</v>
      </c>
    </row>
    <row r="94" spans="5:5">
      <c r="E94">
        <f>COUNTIF(Raw_Data!A:A,Raw_Data!A94)</f>
        <v>1</v>
      </c>
    </row>
    <row r="95" spans="5:5">
      <c r="E95">
        <f>COUNTIF(Raw_Data!A:A,Raw_Data!A95)</f>
        <v>1</v>
      </c>
    </row>
    <row r="96" spans="5:5">
      <c r="E96">
        <f>COUNTIF(Raw_Data!A:A,Raw_Data!A96)</f>
        <v>1</v>
      </c>
    </row>
    <row r="97" spans="5:5">
      <c r="E97">
        <f>COUNTIF(Raw_Data!A:A,Raw_Data!A97)</f>
        <v>2</v>
      </c>
    </row>
    <row r="98" spans="5:5">
      <c r="E98">
        <f>COUNTIF(Raw_Data!A:A,Raw_Data!A98)</f>
        <v>1</v>
      </c>
    </row>
    <row r="99" spans="5:5">
      <c r="E99">
        <f>COUNTIF(Raw_Data!A:A,Raw_Data!A99)</f>
        <v>1</v>
      </c>
    </row>
    <row r="100" spans="5:5">
      <c r="E100">
        <f>COUNTIF(Raw_Data!A:A,Raw_Data!A100)</f>
        <v>1</v>
      </c>
    </row>
    <row r="101" spans="5:5">
      <c r="E101">
        <f>COUNTIF(Raw_Data!A:A,Raw_Data!A101)</f>
        <v>1</v>
      </c>
    </row>
    <row r="102" spans="5:5">
      <c r="E102">
        <f>COUNTIF(Raw_Data!A:A,Raw_Data!A102)</f>
        <v>1</v>
      </c>
    </row>
    <row r="103" spans="5:5">
      <c r="E103">
        <f>COUNTIF(Raw_Data!A:A,Raw_Data!A103)</f>
        <v>1</v>
      </c>
    </row>
    <row r="104" spans="5:5">
      <c r="E104">
        <f>COUNTIF(Raw_Data!A:A,Raw_Data!A104)</f>
        <v>1</v>
      </c>
    </row>
    <row r="105" spans="5:5">
      <c r="E105">
        <f>COUNTIF(Raw_Data!A:A,Raw_Data!A105)</f>
        <v>1</v>
      </c>
    </row>
    <row r="106" spans="5:5">
      <c r="E106">
        <f>COUNTIF(Raw_Data!A:A,Raw_Data!A106)</f>
        <v>1</v>
      </c>
    </row>
    <row r="107" spans="5:5">
      <c r="E107">
        <f>COUNTIF(Raw_Data!A:A,Raw_Data!A107)</f>
        <v>1</v>
      </c>
    </row>
    <row r="108" spans="5:5">
      <c r="E108">
        <f>COUNTIF(Raw_Data!A:A,Raw_Data!A108)</f>
        <v>1</v>
      </c>
    </row>
    <row r="109" spans="5:5">
      <c r="E109">
        <f>COUNTIF(Raw_Data!A:A,Raw_Data!A109)</f>
        <v>1</v>
      </c>
    </row>
    <row r="110" spans="5:5">
      <c r="E110">
        <f>COUNTIF(Raw_Data!A:A,Raw_Data!A110)</f>
        <v>1</v>
      </c>
    </row>
    <row r="111" spans="5:5">
      <c r="E111">
        <f>COUNTIF(Raw_Data!A:A,Raw_Data!A111)</f>
        <v>1</v>
      </c>
    </row>
    <row r="112" spans="5:5">
      <c r="E112">
        <f>COUNTIF(Raw_Data!A:A,Raw_Data!A112)</f>
        <v>1</v>
      </c>
    </row>
    <row r="113" spans="5:5">
      <c r="E113">
        <f>COUNTIF(Raw_Data!A:A,Raw_Data!A113)</f>
        <v>1</v>
      </c>
    </row>
    <row r="114" spans="5:5">
      <c r="E114">
        <f>COUNTIF(Raw_Data!A:A,Raw_Data!A114)</f>
        <v>1</v>
      </c>
    </row>
    <row r="115" spans="5:5">
      <c r="E115">
        <f>COUNTIF(Raw_Data!A:A,Raw_Data!A115)</f>
        <v>1</v>
      </c>
    </row>
    <row r="116" spans="5:5">
      <c r="E116">
        <f>COUNTIF(Raw_Data!A:A,Raw_Data!A116)</f>
        <v>1</v>
      </c>
    </row>
    <row r="117" spans="5:5">
      <c r="E117">
        <f>COUNTIF(Raw_Data!A:A,Raw_Data!A117)</f>
        <v>1</v>
      </c>
    </row>
    <row r="118" spans="5:5">
      <c r="E118">
        <f>COUNTIF(Raw_Data!A:A,Raw_Data!A118)</f>
        <v>1</v>
      </c>
    </row>
    <row r="119" spans="5:5">
      <c r="E119">
        <f>COUNTIF(Raw_Data!A:A,Raw_Data!A119)</f>
        <v>1</v>
      </c>
    </row>
    <row r="120" spans="5:5">
      <c r="E120">
        <f>COUNTIF(Raw_Data!A:A,Raw_Data!A120)</f>
        <v>1</v>
      </c>
    </row>
    <row r="121" spans="5:5">
      <c r="E121">
        <f>COUNTIF(Raw_Data!A:A,Raw_Data!A121)</f>
        <v>1</v>
      </c>
    </row>
    <row r="122" spans="5:5">
      <c r="E122">
        <f>COUNTIF(Raw_Data!A:A,Raw_Data!A122)</f>
        <v>1</v>
      </c>
    </row>
    <row r="123" spans="5:5">
      <c r="E123">
        <f>COUNTIF(Raw_Data!A:A,Raw_Data!A123)</f>
        <v>1</v>
      </c>
    </row>
    <row r="124" spans="5:5">
      <c r="E124">
        <f>COUNTIF(Raw_Data!A:A,Raw_Data!A124)</f>
        <v>1</v>
      </c>
    </row>
    <row r="125" spans="5:5">
      <c r="E125">
        <f>COUNTIF(Raw_Data!A:A,Raw_Data!A125)</f>
        <v>1</v>
      </c>
    </row>
    <row r="126" spans="5:5">
      <c r="E126">
        <f>COUNTIF(Raw_Data!A:A,Raw_Data!A126)</f>
        <v>1</v>
      </c>
    </row>
    <row r="127" spans="5:5">
      <c r="E127">
        <f>COUNTIF(Raw_Data!A:A,Raw_Data!A127)</f>
        <v>1</v>
      </c>
    </row>
    <row r="128" spans="5:5">
      <c r="E128">
        <f>COUNTIF(Raw_Data!A:A,Raw_Data!A128)</f>
        <v>1</v>
      </c>
    </row>
    <row r="129" spans="5:5">
      <c r="E129">
        <f>COUNTIF(Raw_Data!A:A,Raw_Data!A129)</f>
        <v>1</v>
      </c>
    </row>
    <row r="130" spans="5:5">
      <c r="E130">
        <f>COUNTIF(Raw_Data!A:A,Raw_Data!A130)</f>
        <v>1</v>
      </c>
    </row>
    <row r="131" spans="5:5">
      <c r="E131">
        <f>COUNTIF(Raw_Data!A:A,Raw_Data!A131)</f>
        <v>1</v>
      </c>
    </row>
    <row r="132" spans="5:5">
      <c r="E132">
        <f>COUNTIF(Raw_Data!A:A,Raw_Data!A132)</f>
        <v>1</v>
      </c>
    </row>
    <row r="133" spans="5:5">
      <c r="E133">
        <f>COUNTIF(Raw_Data!A:A,Raw_Data!A133)</f>
        <v>1</v>
      </c>
    </row>
    <row r="134" spans="5:5">
      <c r="E134">
        <f>COUNTIF(Raw_Data!A:A,Raw_Data!A134)</f>
        <v>1</v>
      </c>
    </row>
    <row r="135" spans="5:5">
      <c r="E135">
        <f>COUNTIF(Raw_Data!A:A,Raw_Data!A135)</f>
        <v>1</v>
      </c>
    </row>
    <row r="136" spans="5:5">
      <c r="E136">
        <f>COUNTIF(Raw_Data!A:A,Raw_Data!A136)</f>
        <v>1</v>
      </c>
    </row>
    <row r="137" spans="5:5">
      <c r="E137">
        <f>COUNTIF(Raw_Data!A:A,Raw_Data!A137)</f>
        <v>1</v>
      </c>
    </row>
    <row r="138" spans="5:5">
      <c r="E138">
        <f>COUNTIF(Raw_Data!A:A,Raw_Data!A138)</f>
        <v>1</v>
      </c>
    </row>
    <row r="139" spans="5:5">
      <c r="E139">
        <f>COUNTIF(Raw_Data!A:A,Raw_Data!A139)</f>
        <v>1</v>
      </c>
    </row>
    <row r="140" spans="5:5">
      <c r="E140">
        <f>COUNTIF(Raw_Data!A:A,Raw_Data!A140)</f>
        <v>1</v>
      </c>
    </row>
    <row r="141" spans="5:5">
      <c r="E141">
        <f>COUNTIF(Raw_Data!A:A,Raw_Data!A141)</f>
        <v>1</v>
      </c>
    </row>
    <row r="142" spans="5:5">
      <c r="E142">
        <f>COUNTIF(Raw_Data!A:A,Raw_Data!A142)</f>
        <v>1</v>
      </c>
    </row>
    <row r="143" spans="5:5">
      <c r="E143">
        <f>COUNTIF(Raw_Data!A:A,Raw_Data!A143)</f>
        <v>1</v>
      </c>
    </row>
    <row r="144" spans="5:5">
      <c r="E144">
        <f>COUNTIF(Raw_Data!A:A,Raw_Data!A144)</f>
        <v>1</v>
      </c>
    </row>
    <row r="145" spans="5:5">
      <c r="E145">
        <f>COUNTIF(Raw_Data!A:A,Raw_Data!A145)</f>
        <v>1</v>
      </c>
    </row>
    <row r="146" spans="5:5">
      <c r="E146">
        <f>COUNTIF(Raw_Data!A:A,Raw_Data!A146)</f>
        <v>1</v>
      </c>
    </row>
    <row r="147" spans="5:5">
      <c r="E147">
        <f>COUNTIF(Raw_Data!A:A,Raw_Data!A147)</f>
        <v>1</v>
      </c>
    </row>
    <row r="148" spans="5:5">
      <c r="E148">
        <f>COUNTIF(Raw_Data!A:A,Raw_Data!A148)</f>
        <v>1</v>
      </c>
    </row>
    <row r="149" spans="5:5">
      <c r="E149">
        <f>COUNTIF(Raw_Data!A:A,Raw_Data!A149)</f>
        <v>1</v>
      </c>
    </row>
    <row r="150" spans="5:5">
      <c r="E150">
        <f>COUNTIF(Raw_Data!A:A,Raw_Data!A150)</f>
        <v>1</v>
      </c>
    </row>
    <row r="151" spans="5:5">
      <c r="E151">
        <f>COUNTIF(Raw_Data!A:A,Raw_Data!A151)</f>
        <v>1</v>
      </c>
    </row>
    <row r="152" spans="5:5">
      <c r="E152">
        <f>COUNTIF(Raw_Data!A:A,Raw_Data!A152)</f>
        <v>1</v>
      </c>
    </row>
    <row r="153" spans="5:5">
      <c r="E153">
        <f>COUNTIF(Raw_Data!A:A,Raw_Data!A153)</f>
        <v>1</v>
      </c>
    </row>
    <row r="154" spans="5:5">
      <c r="E154">
        <f>COUNTIF(Raw_Data!A:A,Raw_Data!A154)</f>
        <v>1</v>
      </c>
    </row>
    <row r="155" spans="5:5">
      <c r="E155">
        <f>COUNTIF(Raw_Data!A:A,Raw_Data!A155)</f>
        <v>1</v>
      </c>
    </row>
    <row r="156" spans="5:5">
      <c r="E156">
        <f>COUNTIF(Raw_Data!A:A,Raw_Data!A156)</f>
        <v>1</v>
      </c>
    </row>
    <row r="157" spans="5:5">
      <c r="E157">
        <f>COUNTIF(Raw_Data!A:A,Raw_Data!A157)</f>
        <v>1</v>
      </c>
    </row>
    <row r="158" spans="5:5">
      <c r="E158">
        <f>COUNTIF(Raw_Data!A:A,Raw_Data!A158)</f>
        <v>1</v>
      </c>
    </row>
    <row r="159" spans="5:5">
      <c r="E159">
        <f>COUNTIF(Raw_Data!A:A,Raw_Data!A159)</f>
        <v>1</v>
      </c>
    </row>
    <row r="160" spans="5:5">
      <c r="E160">
        <f>COUNTIF(Raw_Data!A:A,Raw_Data!A160)</f>
        <v>1</v>
      </c>
    </row>
    <row r="161" spans="5:5">
      <c r="E161">
        <f>COUNTIF(Raw_Data!A:A,Raw_Data!A161)</f>
        <v>1</v>
      </c>
    </row>
    <row r="162" spans="5:5">
      <c r="E162">
        <f>COUNTIF(Raw_Data!A:A,Raw_Data!A162)</f>
        <v>1</v>
      </c>
    </row>
    <row r="163" spans="5:5">
      <c r="E163">
        <f>COUNTIF(Raw_Data!A:A,Raw_Data!A163)</f>
        <v>1</v>
      </c>
    </row>
    <row r="164" spans="5:5">
      <c r="E164">
        <f>COUNTIF(Raw_Data!A:A,Raw_Data!A164)</f>
        <v>1</v>
      </c>
    </row>
    <row r="165" spans="5:5">
      <c r="E165">
        <f>COUNTIF(Raw_Data!A:A,Raw_Data!A165)</f>
        <v>1</v>
      </c>
    </row>
    <row r="166" spans="5:5">
      <c r="E166">
        <f>COUNTIF(Raw_Data!A:A,Raw_Data!A166)</f>
        <v>1</v>
      </c>
    </row>
    <row r="167" spans="5:5">
      <c r="E167">
        <f>COUNTIF(Raw_Data!A:A,Raw_Data!A167)</f>
        <v>1</v>
      </c>
    </row>
    <row r="168" spans="5:5">
      <c r="E168">
        <f>COUNTIF(Raw_Data!A:A,Raw_Data!A168)</f>
        <v>1</v>
      </c>
    </row>
    <row r="169" spans="5:5">
      <c r="E169">
        <f>COUNTIF(Raw_Data!A:A,Raw_Data!A169)</f>
        <v>1</v>
      </c>
    </row>
    <row r="170" spans="5:5">
      <c r="E170">
        <f>COUNTIF(Raw_Data!A:A,Raw_Data!A170)</f>
        <v>1</v>
      </c>
    </row>
    <row r="171" spans="5:5">
      <c r="E171">
        <f>COUNTIF(Raw_Data!A:A,Raw_Data!A171)</f>
        <v>1</v>
      </c>
    </row>
    <row r="172" spans="5:5">
      <c r="E172">
        <f>COUNTIF(Raw_Data!A:A,Raw_Data!A172)</f>
        <v>1</v>
      </c>
    </row>
    <row r="173" spans="5:5">
      <c r="E173">
        <f>COUNTIF(Raw_Data!A:A,Raw_Data!A173)</f>
        <v>1</v>
      </c>
    </row>
    <row r="174" spans="5:5">
      <c r="E174">
        <f>COUNTIF(Raw_Data!A:A,Raw_Data!A174)</f>
        <v>1</v>
      </c>
    </row>
    <row r="175" spans="5:5">
      <c r="E175">
        <f>COUNTIF(Raw_Data!A:A,Raw_Data!A175)</f>
        <v>1</v>
      </c>
    </row>
    <row r="176" spans="5:5">
      <c r="E176">
        <f>COUNTIF(Raw_Data!A:A,Raw_Data!A176)</f>
        <v>1</v>
      </c>
    </row>
    <row r="177" spans="5:5">
      <c r="E177">
        <f>COUNTIF(Raw_Data!A:A,Raw_Data!A177)</f>
        <v>1</v>
      </c>
    </row>
    <row r="178" spans="5:5">
      <c r="E178">
        <f>COUNTIF(Raw_Data!A:A,Raw_Data!A178)</f>
        <v>1</v>
      </c>
    </row>
    <row r="179" spans="5:5">
      <c r="E179">
        <f>COUNTIF(Raw_Data!A:A,Raw_Data!A179)</f>
        <v>1</v>
      </c>
    </row>
    <row r="180" spans="5:5">
      <c r="E180">
        <f>COUNTIF(Raw_Data!A:A,Raw_Data!A180)</f>
        <v>1</v>
      </c>
    </row>
    <row r="181" spans="5:5">
      <c r="E181">
        <f>COUNTIF(Raw_Data!A:A,Raw_Data!A181)</f>
        <v>1</v>
      </c>
    </row>
    <row r="182" spans="5:5">
      <c r="E182">
        <f>COUNTIF(Raw_Data!A:A,Raw_Data!A182)</f>
        <v>1</v>
      </c>
    </row>
    <row r="183" spans="5:5">
      <c r="E183">
        <f>COUNTIF(Raw_Data!A:A,Raw_Data!A183)</f>
        <v>1</v>
      </c>
    </row>
    <row r="184" spans="5:5">
      <c r="E184">
        <f>COUNTIF(Raw_Data!A:A,Raw_Data!A184)</f>
        <v>1</v>
      </c>
    </row>
    <row r="185" spans="5:5">
      <c r="E185">
        <f>COUNTIF(Raw_Data!A:A,Raw_Data!A185)</f>
        <v>1</v>
      </c>
    </row>
    <row r="186" spans="5:5">
      <c r="E186">
        <f>COUNTIF(Raw_Data!A:A,Raw_Data!A186)</f>
        <v>1</v>
      </c>
    </row>
    <row r="187" spans="5:5">
      <c r="E187">
        <f>COUNTIF(Raw_Data!A:A,Raw_Data!A187)</f>
        <v>1</v>
      </c>
    </row>
    <row r="188" spans="5:5">
      <c r="E188">
        <f>COUNTIF(Raw_Data!A:A,Raw_Data!A188)</f>
        <v>1</v>
      </c>
    </row>
    <row r="189" spans="5:5">
      <c r="E189">
        <f>COUNTIF(Raw_Data!A:A,Raw_Data!A189)</f>
        <v>1</v>
      </c>
    </row>
    <row r="190" spans="5:5">
      <c r="E190">
        <f>COUNTIF(Raw_Data!A:A,Raw_Data!A190)</f>
        <v>1</v>
      </c>
    </row>
    <row r="191" spans="5:5">
      <c r="E191">
        <f>COUNTIF(Raw_Data!A:A,Raw_Data!A191)</f>
        <v>1</v>
      </c>
    </row>
    <row r="192" spans="5:5">
      <c r="E192">
        <f>COUNTIF(Raw_Data!A:A,Raw_Data!A192)</f>
        <v>1</v>
      </c>
    </row>
    <row r="193" spans="5:5">
      <c r="E193">
        <f>COUNTIF(Raw_Data!A:A,Raw_Data!A193)</f>
        <v>1</v>
      </c>
    </row>
    <row r="194" spans="5:5">
      <c r="E194">
        <f>COUNTIF(Raw_Data!A:A,Raw_Data!A194)</f>
        <v>1</v>
      </c>
    </row>
    <row r="195" spans="5:5">
      <c r="E195">
        <f>COUNTIF(Raw_Data!A:A,Raw_Data!A195)</f>
        <v>1</v>
      </c>
    </row>
    <row r="196" spans="5:5">
      <c r="E196">
        <f>COUNTIF(Raw_Data!A:A,Raw_Data!A196)</f>
        <v>1</v>
      </c>
    </row>
    <row r="197" spans="5:5">
      <c r="E197">
        <f>COUNTIF(Raw_Data!A:A,Raw_Data!A197)</f>
        <v>1</v>
      </c>
    </row>
    <row r="198" spans="5:5">
      <c r="E198">
        <f>COUNTIF(Raw_Data!A:A,Raw_Data!A198)</f>
        <v>1</v>
      </c>
    </row>
    <row r="199" spans="5:5">
      <c r="E199">
        <f>COUNTIF(Raw_Data!A:A,Raw_Data!A199)</f>
        <v>1</v>
      </c>
    </row>
    <row r="200" spans="5:5">
      <c r="E200">
        <f>COUNTIF(Raw_Data!A:A,Raw_Data!A200)</f>
        <v>1</v>
      </c>
    </row>
    <row r="201" spans="5:5">
      <c r="E201">
        <f>COUNTIF(Raw_Data!A:A,Raw_Data!A201)</f>
        <v>1</v>
      </c>
    </row>
    <row r="202" spans="5:5">
      <c r="E202">
        <f>COUNTIF(Raw_Data!A:A,Raw_Data!A202)</f>
        <v>1</v>
      </c>
    </row>
    <row r="203" spans="5:5">
      <c r="E203">
        <f>COUNTIF(Raw_Data!A:A,Raw_Data!A203)</f>
        <v>1</v>
      </c>
    </row>
    <row r="204" spans="5:5">
      <c r="E204">
        <f>COUNTIF(Raw_Data!A:A,Raw_Data!A204)</f>
        <v>1</v>
      </c>
    </row>
    <row r="205" spans="5:5">
      <c r="E205">
        <f>COUNTIF(Raw_Data!A:A,Raw_Data!A205)</f>
        <v>1</v>
      </c>
    </row>
    <row r="206" spans="5:5">
      <c r="E206">
        <f>COUNTIF(Raw_Data!A:A,Raw_Data!A206)</f>
        <v>1</v>
      </c>
    </row>
    <row r="207" spans="5:5">
      <c r="E207">
        <f>COUNTIF(Raw_Data!A:A,Raw_Data!A207)</f>
        <v>1</v>
      </c>
    </row>
    <row r="208" spans="5:5">
      <c r="E208">
        <f>COUNTIF(Raw_Data!A:A,Raw_Data!A208)</f>
        <v>1</v>
      </c>
    </row>
    <row r="209" spans="5:5">
      <c r="E209">
        <f>COUNTIF(Raw_Data!A:A,Raw_Data!A209)</f>
        <v>1</v>
      </c>
    </row>
    <row r="210" spans="5:5">
      <c r="E210">
        <f>COUNTIF(Raw_Data!A:A,Raw_Data!A210)</f>
        <v>1</v>
      </c>
    </row>
    <row r="211" spans="5:5">
      <c r="E211">
        <f>COUNTIF(Raw_Data!A:A,Raw_Data!A211)</f>
        <v>1</v>
      </c>
    </row>
    <row r="212" spans="5:5">
      <c r="E212">
        <f>COUNTIF(Raw_Data!A:A,Raw_Data!A212)</f>
        <v>1</v>
      </c>
    </row>
    <row r="213" spans="5:5">
      <c r="E213">
        <f>COUNTIF(Raw_Data!A:A,Raw_Data!A213)</f>
        <v>1</v>
      </c>
    </row>
    <row r="214" spans="5:5">
      <c r="E214">
        <f>COUNTIF(Raw_Data!A:A,Raw_Data!A214)</f>
        <v>1</v>
      </c>
    </row>
    <row r="215" spans="5:5">
      <c r="E215">
        <f>COUNTIF(Raw_Data!A:A,Raw_Data!A215)</f>
        <v>1</v>
      </c>
    </row>
    <row r="216" spans="5:5">
      <c r="E216">
        <f>COUNTIF(Raw_Data!A:A,Raw_Data!A216)</f>
        <v>1</v>
      </c>
    </row>
    <row r="217" spans="5:5">
      <c r="E217">
        <f>COUNTIF(Raw_Data!A:A,Raw_Data!A217)</f>
        <v>1</v>
      </c>
    </row>
    <row r="218" spans="5:5">
      <c r="E218">
        <f>COUNTIF(Raw_Data!A:A,Raw_Data!A218)</f>
        <v>1</v>
      </c>
    </row>
    <row r="219" spans="5:5">
      <c r="E219">
        <f>COUNTIF(Raw_Data!A:A,Raw_Data!A219)</f>
        <v>1</v>
      </c>
    </row>
    <row r="220" spans="5:5">
      <c r="E220">
        <f>COUNTIF(Raw_Data!A:A,Raw_Data!A220)</f>
        <v>1</v>
      </c>
    </row>
    <row r="221" spans="5:5">
      <c r="E221">
        <f>COUNTIF(Raw_Data!A:A,Raw_Data!A221)</f>
        <v>1</v>
      </c>
    </row>
    <row r="222" spans="5:5">
      <c r="E222">
        <f>COUNTIF(Raw_Data!A:A,Raw_Data!A222)</f>
        <v>1</v>
      </c>
    </row>
    <row r="223" spans="5:5">
      <c r="E223">
        <f>COUNTIF(Raw_Data!A:A,Raw_Data!A223)</f>
        <v>1</v>
      </c>
    </row>
    <row r="224" spans="5:5">
      <c r="E224">
        <f>COUNTIF(Raw_Data!A:A,Raw_Data!A224)</f>
        <v>1</v>
      </c>
    </row>
    <row r="225" spans="5:5">
      <c r="E225">
        <f>COUNTIF(Raw_Data!A:A,Raw_Data!A225)</f>
        <v>1</v>
      </c>
    </row>
    <row r="226" spans="5:5">
      <c r="E226">
        <f>COUNTIF(Raw_Data!A:A,Raw_Data!A226)</f>
        <v>1</v>
      </c>
    </row>
    <row r="227" spans="5:5">
      <c r="E227">
        <f>COUNTIF(Raw_Data!A:A,Raw_Data!A227)</f>
        <v>1</v>
      </c>
    </row>
    <row r="228" spans="5:5">
      <c r="E228">
        <f>COUNTIF(Raw_Data!A:A,Raw_Data!A228)</f>
        <v>1</v>
      </c>
    </row>
    <row r="229" spans="5:5">
      <c r="E229">
        <f>COUNTIF(Raw_Data!A:A,Raw_Data!A229)</f>
        <v>1</v>
      </c>
    </row>
    <row r="230" spans="5:5">
      <c r="E230">
        <f>COUNTIF(Raw_Data!A:A,Raw_Data!A230)</f>
        <v>1</v>
      </c>
    </row>
    <row r="231" spans="5:5">
      <c r="E231">
        <f>COUNTIF(Raw_Data!A:A,Raw_Data!A231)</f>
        <v>1</v>
      </c>
    </row>
    <row r="232" spans="5:5">
      <c r="E232">
        <f>COUNTIF(Raw_Data!A:A,Raw_Data!A232)</f>
        <v>1</v>
      </c>
    </row>
    <row r="233" spans="5:5">
      <c r="E233">
        <f>COUNTIF(Raw_Data!A:A,Raw_Data!A233)</f>
        <v>1</v>
      </c>
    </row>
    <row r="234" spans="5:5">
      <c r="E234">
        <f>COUNTIF(Raw_Data!A:A,Raw_Data!A234)</f>
        <v>1</v>
      </c>
    </row>
    <row r="235" spans="5:5">
      <c r="E235">
        <f>COUNTIF(Raw_Data!A:A,Raw_Data!A235)</f>
        <v>1</v>
      </c>
    </row>
    <row r="236" spans="5:5">
      <c r="E236">
        <f>COUNTIF(Raw_Data!A:A,Raw_Data!A236)</f>
        <v>1</v>
      </c>
    </row>
    <row r="237" spans="5:5">
      <c r="E237">
        <f>COUNTIF(Raw_Data!A:A,Raw_Data!A237)</f>
        <v>1</v>
      </c>
    </row>
    <row r="238" spans="5:5">
      <c r="E238">
        <f>COUNTIF(Raw_Data!A:A,Raw_Data!A238)</f>
        <v>1</v>
      </c>
    </row>
    <row r="239" spans="5:5">
      <c r="E239">
        <f>COUNTIF(Raw_Data!A:A,Raw_Data!A239)</f>
        <v>1</v>
      </c>
    </row>
    <row r="240" spans="5:5">
      <c r="E240">
        <f>COUNTIF(Raw_Data!A:A,Raw_Data!A240)</f>
        <v>1</v>
      </c>
    </row>
    <row r="241" spans="5:5">
      <c r="E241">
        <f>COUNTIF(Raw_Data!A:A,Raw_Data!A241)</f>
        <v>1</v>
      </c>
    </row>
    <row r="242" spans="5:5">
      <c r="E242">
        <f>COUNTIF(Raw_Data!A:A,Raw_Data!A242)</f>
        <v>1</v>
      </c>
    </row>
    <row r="243" spans="5:5">
      <c r="E243">
        <f>COUNTIF(Raw_Data!A:A,Raw_Data!A243)</f>
        <v>1</v>
      </c>
    </row>
    <row r="244" spans="5:5">
      <c r="E244">
        <f>COUNTIF(Raw_Data!A:A,Raw_Data!A244)</f>
        <v>1</v>
      </c>
    </row>
    <row r="245" spans="5:5">
      <c r="E245">
        <f>COUNTIF(Raw_Data!A:A,Raw_Data!A245)</f>
        <v>1</v>
      </c>
    </row>
    <row r="246" spans="5:5">
      <c r="E246">
        <f>COUNTIF(Raw_Data!A:A,Raw_Data!A246)</f>
        <v>1</v>
      </c>
    </row>
    <row r="247" spans="5:5">
      <c r="E247">
        <f>COUNTIF(Raw_Data!A:A,Raw_Data!A247)</f>
        <v>1</v>
      </c>
    </row>
    <row r="248" spans="5:5">
      <c r="E248">
        <f>COUNTIF(Raw_Data!A:A,Raw_Data!A248)</f>
        <v>1</v>
      </c>
    </row>
    <row r="249" spans="5:5">
      <c r="E249">
        <f>COUNTIF(Raw_Data!A:A,Raw_Data!A249)</f>
        <v>1</v>
      </c>
    </row>
    <row r="250" spans="5:5">
      <c r="E250">
        <f>COUNTIF(Raw_Data!A:A,Raw_Data!A250)</f>
        <v>1</v>
      </c>
    </row>
    <row r="251" spans="5:5">
      <c r="E251">
        <f>COUNTIF(Raw_Data!A:A,Raw_Data!A251)</f>
        <v>1</v>
      </c>
    </row>
    <row r="252" spans="5:5">
      <c r="E252">
        <f>COUNTIF(Raw_Data!A:A,Raw_Data!A252)</f>
        <v>1</v>
      </c>
    </row>
    <row r="253" spans="5:5">
      <c r="E253">
        <f>COUNTIF(Raw_Data!A:A,Raw_Data!A253)</f>
        <v>1</v>
      </c>
    </row>
    <row r="254" spans="5:5">
      <c r="E254">
        <f>COUNTIF(Raw_Data!A:A,Raw_Data!A254)</f>
        <v>1</v>
      </c>
    </row>
    <row r="255" spans="5:5">
      <c r="E255">
        <f>COUNTIF(Raw_Data!A:A,Raw_Data!A255)</f>
        <v>1</v>
      </c>
    </row>
    <row r="256" spans="5:5">
      <c r="E256">
        <f>COUNTIF(Raw_Data!A:A,Raw_Data!A256)</f>
        <v>1</v>
      </c>
    </row>
    <row r="257" spans="5:5">
      <c r="E257">
        <f>COUNTIF(Raw_Data!A:A,Raw_Data!A257)</f>
        <v>1</v>
      </c>
    </row>
    <row r="258" spans="5:5">
      <c r="E258">
        <f>COUNTIF(Raw_Data!A:A,Raw_Data!A258)</f>
        <v>1</v>
      </c>
    </row>
    <row r="259" spans="5:5">
      <c r="E259">
        <f>COUNTIF(Raw_Data!A:A,Raw_Data!A259)</f>
        <v>1</v>
      </c>
    </row>
    <row r="260" spans="5:5">
      <c r="E260">
        <f>COUNTIF(Raw_Data!A:A,Raw_Data!A260)</f>
        <v>1</v>
      </c>
    </row>
    <row r="261" spans="5:5">
      <c r="E261">
        <f>COUNTIF(Raw_Data!A:A,Raw_Data!A261)</f>
        <v>1</v>
      </c>
    </row>
    <row r="262" spans="5:5">
      <c r="E262">
        <f>COUNTIF(Raw_Data!A:A,Raw_Data!A262)</f>
        <v>1</v>
      </c>
    </row>
    <row r="263" spans="5:5">
      <c r="E263">
        <f>COUNTIF(Raw_Data!A:A,Raw_Data!A263)</f>
        <v>1</v>
      </c>
    </row>
    <row r="264" spans="5:5">
      <c r="E264">
        <f>COUNTIF(Raw_Data!A:A,Raw_Data!A264)</f>
        <v>1</v>
      </c>
    </row>
    <row r="265" spans="5:5">
      <c r="E265">
        <f>COUNTIF(Raw_Data!A:A,Raw_Data!A265)</f>
        <v>1</v>
      </c>
    </row>
    <row r="266" spans="5:5">
      <c r="E266">
        <f>COUNTIF(Raw_Data!A:A,Raw_Data!A266)</f>
        <v>1</v>
      </c>
    </row>
    <row r="267" spans="5:5">
      <c r="E267">
        <f>COUNTIF(Raw_Data!A:A,Raw_Data!A267)</f>
        <v>1</v>
      </c>
    </row>
    <row r="268" spans="5:5">
      <c r="E268">
        <f>COUNTIF(Raw_Data!A:A,Raw_Data!A268)</f>
        <v>1</v>
      </c>
    </row>
    <row r="269" spans="5:5">
      <c r="E269">
        <f>COUNTIF(Raw_Data!A:A,Raw_Data!A269)</f>
        <v>1</v>
      </c>
    </row>
    <row r="270" spans="5:5">
      <c r="E270">
        <f>COUNTIF(Raw_Data!A:A,Raw_Data!A270)</f>
        <v>1</v>
      </c>
    </row>
    <row r="271" spans="5:5">
      <c r="E271">
        <f>COUNTIF(Raw_Data!A:A,Raw_Data!A271)</f>
        <v>1</v>
      </c>
    </row>
    <row r="272" spans="5:5">
      <c r="E272">
        <f>COUNTIF(Raw_Data!A:A,Raw_Data!A272)</f>
        <v>1</v>
      </c>
    </row>
    <row r="273" spans="5:5">
      <c r="E273">
        <f>COUNTIF(Raw_Data!A:A,Raw_Data!A273)</f>
        <v>1</v>
      </c>
    </row>
    <row r="274" spans="5:5">
      <c r="E274">
        <f>COUNTIF(Raw_Data!A:A,Raw_Data!A274)</f>
        <v>1</v>
      </c>
    </row>
    <row r="275" spans="5:5">
      <c r="E275">
        <f>COUNTIF(Raw_Data!A:A,Raw_Data!A275)</f>
        <v>1</v>
      </c>
    </row>
    <row r="276" spans="5:5">
      <c r="E276">
        <f>COUNTIF(Raw_Data!A:A,Raw_Data!A276)</f>
        <v>1</v>
      </c>
    </row>
    <row r="277" spans="5:5">
      <c r="E277">
        <f>COUNTIF(Raw_Data!A:A,Raw_Data!A277)</f>
        <v>1</v>
      </c>
    </row>
    <row r="278" spans="5:5">
      <c r="E278">
        <f>COUNTIF(Raw_Data!A:A,Raw_Data!A278)</f>
        <v>1</v>
      </c>
    </row>
    <row r="279" spans="5:5">
      <c r="E279">
        <f>COUNTIF(Raw_Data!A:A,Raw_Data!A279)</f>
        <v>1</v>
      </c>
    </row>
    <row r="280" spans="5:5">
      <c r="E280">
        <f>COUNTIF(Raw_Data!A:A,Raw_Data!A280)</f>
        <v>1</v>
      </c>
    </row>
    <row r="281" spans="5:5">
      <c r="E281">
        <f>COUNTIF(Raw_Data!A:A,Raw_Data!A281)</f>
        <v>1</v>
      </c>
    </row>
    <row r="282" spans="5:5">
      <c r="E282">
        <f>COUNTIF(Raw_Data!A:A,Raw_Data!A282)</f>
        <v>1</v>
      </c>
    </row>
    <row r="283" spans="5:5">
      <c r="E283">
        <f>COUNTIF(Raw_Data!A:A,Raw_Data!A283)</f>
        <v>1</v>
      </c>
    </row>
    <row r="284" spans="5:5">
      <c r="E284">
        <f>COUNTIF(Raw_Data!A:A,Raw_Data!A284)</f>
        <v>1</v>
      </c>
    </row>
    <row r="285" spans="5:5">
      <c r="E285">
        <f>COUNTIF(Raw_Data!A:A,Raw_Data!A285)</f>
        <v>1</v>
      </c>
    </row>
    <row r="286" spans="5:5">
      <c r="E286">
        <f>COUNTIF(Raw_Data!A:A,Raw_Data!A286)</f>
        <v>1</v>
      </c>
    </row>
    <row r="287" spans="5:5">
      <c r="E287">
        <f>COUNTIF(Raw_Data!A:A,Raw_Data!A287)</f>
        <v>1</v>
      </c>
    </row>
    <row r="288" spans="5:5">
      <c r="E288">
        <f>COUNTIF(Raw_Data!A:A,Raw_Data!A288)</f>
        <v>1</v>
      </c>
    </row>
    <row r="289" spans="5:5">
      <c r="E289">
        <f>COUNTIF(Raw_Data!A:A,Raw_Data!A289)</f>
        <v>1</v>
      </c>
    </row>
    <row r="290" spans="5:5">
      <c r="E290">
        <f>COUNTIF(Raw_Data!A:A,Raw_Data!A290)</f>
        <v>1</v>
      </c>
    </row>
    <row r="291" spans="5:5">
      <c r="E291">
        <f>COUNTIF(Raw_Data!A:A,Raw_Data!A291)</f>
        <v>1</v>
      </c>
    </row>
    <row r="292" spans="5:5">
      <c r="E292">
        <f>COUNTIF(Raw_Data!A:A,Raw_Data!A292)</f>
        <v>1</v>
      </c>
    </row>
    <row r="293" spans="5:5">
      <c r="E293">
        <f>COUNTIF(Raw_Data!A:A,Raw_Data!A293)</f>
        <v>1</v>
      </c>
    </row>
    <row r="294" spans="5:5">
      <c r="E294">
        <f>COUNTIF(Raw_Data!A:A,Raw_Data!A294)</f>
        <v>1</v>
      </c>
    </row>
    <row r="295" spans="5:5">
      <c r="E295">
        <f>COUNTIF(Raw_Data!A:A,Raw_Data!A295)</f>
        <v>1</v>
      </c>
    </row>
    <row r="296" spans="5:5">
      <c r="E296">
        <f>COUNTIF(Raw_Data!A:A,Raw_Data!A296)</f>
        <v>1</v>
      </c>
    </row>
    <row r="297" spans="5:5">
      <c r="E297">
        <f>COUNTIF(Raw_Data!A:A,Raw_Data!A297)</f>
        <v>1</v>
      </c>
    </row>
    <row r="298" spans="5:5">
      <c r="E298">
        <f>COUNTIF(Raw_Data!A:A,Raw_Data!A298)</f>
        <v>1</v>
      </c>
    </row>
    <row r="299" spans="5:5">
      <c r="E299">
        <f>COUNTIF(Raw_Data!A:A,Raw_Data!A299)</f>
        <v>1</v>
      </c>
    </row>
    <row r="300" spans="5:5">
      <c r="E300">
        <f>COUNTIF(Raw_Data!A:A,Raw_Data!A300)</f>
        <v>1</v>
      </c>
    </row>
    <row r="301" spans="5:5">
      <c r="E301">
        <f>COUNTIF(Raw_Data!A:A,Raw_Data!A301)</f>
        <v>1</v>
      </c>
    </row>
    <row r="302" spans="5:5">
      <c r="E302">
        <f>COUNTIF(Raw_Data!A:A,Raw_Data!A302)</f>
        <v>1</v>
      </c>
    </row>
    <row r="303" spans="5:5">
      <c r="E303">
        <f>COUNTIF(Raw_Data!A:A,Raw_Data!A303)</f>
        <v>1</v>
      </c>
    </row>
    <row r="304" spans="5:5">
      <c r="E304">
        <f>COUNTIF(Raw_Data!A:A,Raw_Data!A304)</f>
        <v>1</v>
      </c>
    </row>
    <row r="305" spans="5:5">
      <c r="E305">
        <f>COUNTIF(Raw_Data!A:A,Raw_Data!A305)</f>
        <v>1</v>
      </c>
    </row>
    <row r="306" spans="5:5">
      <c r="E306">
        <f>COUNTIF(Raw_Data!A:A,Raw_Data!A306)</f>
        <v>1</v>
      </c>
    </row>
    <row r="307" spans="5:5">
      <c r="E307">
        <f>COUNTIF(Raw_Data!A:A,Raw_Data!A307)</f>
        <v>1</v>
      </c>
    </row>
    <row r="308" spans="5:5">
      <c r="E308">
        <f>COUNTIF(Raw_Data!A:A,Raw_Data!A308)</f>
        <v>1</v>
      </c>
    </row>
    <row r="309" spans="5:5">
      <c r="E309">
        <f>COUNTIF(Raw_Data!A:A,Raw_Data!A309)</f>
        <v>1</v>
      </c>
    </row>
    <row r="310" spans="5:5">
      <c r="E310">
        <f>COUNTIF(Raw_Data!A:A,Raw_Data!A310)</f>
        <v>1</v>
      </c>
    </row>
    <row r="311" spans="5:5">
      <c r="E311">
        <f>COUNTIF(Raw_Data!A:A,Raw_Data!A311)</f>
        <v>1</v>
      </c>
    </row>
    <row r="312" spans="5:5">
      <c r="E312">
        <f>COUNTIF(Raw_Data!A:A,Raw_Data!A312)</f>
        <v>1</v>
      </c>
    </row>
    <row r="313" spans="5:5">
      <c r="E313">
        <f>COUNTIF(Raw_Data!A:A,Raw_Data!A313)</f>
        <v>1</v>
      </c>
    </row>
    <row r="314" spans="5:5">
      <c r="E314">
        <f>COUNTIF(Raw_Data!A:A,Raw_Data!A314)</f>
        <v>1</v>
      </c>
    </row>
    <row r="315" spans="5:5">
      <c r="E315">
        <f>COUNTIF(Raw_Data!A:A,Raw_Data!A315)</f>
        <v>1</v>
      </c>
    </row>
    <row r="316" spans="5:5">
      <c r="E316">
        <f>COUNTIF(Raw_Data!A:A,Raw_Data!A316)</f>
        <v>1</v>
      </c>
    </row>
    <row r="317" spans="5:5">
      <c r="E317">
        <f>COUNTIF(Raw_Data!A:A,Raw_Data!A317)</f>
        <v>1</v>
      </c>
    </row>
    <row r="318" spans="5:5">
      <c r="E318">
        <f>COUNTIF(Raw_Data!A:A,Raw_Data!A318)</f>
        <v>1</v>
      </c>
    </row>
    <row r="319" spans="5:5">
      <c r="E319">
        <f>COUNTIF(Raw_Data!A:A,Raw_Data!A319)</f>
        <v>1</v>
      </c>
    </row>
    <row r="320" spans="5:5">
      <c r="E320">
        <f>COUNTIF(Raw_Data!A:A,Raw_Data!A320)</f>
        <v>1</v>
      </c>
    </row>
    <row r="321" spans="5:5">
      <c r="E321">
        <f>COUNTIF(Raw_Data!A:A,Raw_Data!A321)</f>
        <v>1</v>
      </c>
    </row>
    <row r="322" spans="5:5">
      <c r="E322">
        <f>COUNTIF(Raw_Data!A:A,Raw_Data!A322)</f>
        <v>1</v>
      </c>
    </row>
    <row r="323" spans="5:5">
      <c r="E323">
        <f>COUNTIF(Raw_Data!A:A,Raw_Data!A323)</f>
        <v>1</v>
      </c>
    </row>
    <row r="324" spans="5:5">
      <c r="E324">
        <f>COUNTIF(Raw_Data!A:A,Raw_Data!A324)</f>
        <v>1</v>
      </c>
    </row>
    <row r="325" spans="5:5">
      <c r="E325">
        <f>COUNTIF(Raw_Data!A:A,Raw_Data!A325)</f>
        <v>1</v>
      </c>
    </row>
    <row r="326" spans="5:5">
      <c r="E326">
        <f>COUNTIF(Raw_Data!A:A,Raw_Data!A326)</f>
        <v>1</v>
      </c>
    </row>
    <row r="327" spans="5:5">
      <c r="E327">
        <f>COUNTIF(Raw_Data!A:A,Raw_Data!A327)</f>
        <v>1</v>
      </c>
    </row>
    <row r="328" spans="5:5">
      <c r="E328">
        <f>COUNTIF(Raw_Data!A:A,Raw_Data!A328)</f>
        <v>1</v>
      </c>
    </row>
    <row r="329" spans="5:5">
      <c r="E329">
        <f>COUNTIF(Raw_Data!A:A,Raw_Data!A329)</f>
        <v>1</v>
      </c>
    </row>
    <row r="330" spans="5:5">
      <c r="E330">
        <f>COUNTIF(Raw_Data!A:A,Raw_Data!A330)</f>
        <v>1</v>
      </c>
    </row>
    <row r="331" spans="5:5">
      <c r="E331">
        <f>COUNTIF(Raw_Data!A:A,Raw_Data!A331)</f>
        <v>1</v>
      </c>
    </row>
    <row r="332" spans="5:5">
      <c r="E332">
        <f>COUNTIF(Raw_Data!A:A,Raw_Data!A332)</f>
        <v>1</v>
      </c>
    </row>
    <row r="333" spans="5:5">
      <c r="E333">
        <f>COUNTIF(Raw_Data!A:A,Raw_Data!A333)</f>
        <v>1</v>
      </c>
    </row>
    <row r="334" spans="5:5">
      <c r="E334">
        <f>COUNTIF(Raw_Data!A:A,Raw_Data!A334)</f>
        <v>1</v>
      </c>
    </row>
    <row r="335" spans="5:5">
      <c r="E335">
        <f>COUNTIF(Raw_Data!A:A,Raw_Data!A335)</f>
        <v>1</v>
      </c>
    </row>
    <row r="336" spans="5:5">
      <c r="E336">
        <f>COUNTIF(Raw_Data!A:A,Raw_Data!A336)</f>
        <v>1</v>
      </c>
    </row>
    <row r="337" spans="5:5">
      <c r="E337">
        <f>COUNTIF(Raw_Data!A:A,Raw_Data!A337)</f>
        <v>1</v>
      </c>
    </row>
    <row r="338" spans="5:5">
      <c r="E338">
        <f>COUNTIF(Raw_Data!A:A,Raw_Data!A338)</f>
        <v>1</v>
      </c>
    </row>
    <row r="339" spans="5:5">
      <c r="E339">
        <f>COUNTIF(Raw_Data!A:A,Raw_Data!A339)</f>
        <v>1</v>
      </c>
    </row>
    <row r="340" spans="5:5">
      <c r="E340">
        <f>COUNTIF(Raw_Data!A:A,Raw_Data!A340)</f>
        <v>1</v>
      </c>
    </row>
    <row r="341" spans="5:5">
      <c r="E341">
        <f>COUNTIF(Raw_Data!A:A,Raw_Data!A341)</f>
        <v>1</v>
      </c>
    </row>
    <row r="342" spans="5:5">
      <c r="E342">
        <f>COUNTIF(Raw_Data!A:A,Raw_Data!A342)</f>
        <v>1</v>
      </c>
    </row>
    <row r="343" spans="5:5">
      <c r="E343">
        <f>COUNTIF(Raw_Data!A:A,Raw_Data!A343)</f>
        <v>1</v>
      </c>
    </row>
    <row r="344" spans="5:5">
      <c r="E344">
        <f>COUNTIF(Raw_Data!A:A,Raw_Data!A344)</f>
        <v>1</v>
      </c>
    </row>
    <row r="345" spans="5:5">
      <c r="E345">
        <f>COUNTIF(Raw_Data!A:A,Raw_Data!A345)</f>
        <v>1</v>
      </c>
    </row>
    <row r="346" spans="5:5">
      <c r="E346">
        <f>COUNTIF(Raw_Data!A:A,Raw_Data!A346)</f>
        <v>1</v>
      </c>
    </row>
    <row r="347" spans="5:5">
      <c r="E347">
        <f>COUNTIF(Raw_Data!A:A,Raw_Data!A347)</f>
        <v>1</v>
      </c>
    </row>
    <row r="348" spans="5:5">
      <c r="E348">
        <f>COUNTIF(Raw_Data!A:A,Raw_Data!A348)</f>
        <v>1</v>
      </c>
    </row>
    <row r="349" spans="5:5">
      <c r="E349">
        <f>COUNTIF(Raw_Data!A:A,Raw_Data!A349)</f>
        <v>1</v>
      </c>
    </row>
    <row r="350" spans="5:5">
      <c r="E350">
        <f>COUNTIF(Raw_Data!A:A,Raw_Data!A350)</f>
        <v>1</v>
      </c>
    </row>
    <row r="351" spans="5:5">
      <c r="E351">
        <f>COUNTIF(Raw_Data!A:A,Raw_Data!A351)</f>
        <v>1</v>
      </c>
    </row>
    <row r="352" spans="5:5">
      <c r="E352">
        <f>COUNTIF(Raw_Data!A:A,Raw_Data!A352)</f>
        <v>1</v>
      </c>
    </row>
    <row r="353" spans="5:5">
      <c r="E353">
        <f>COUNTIF(Raw_Data!A:A,Raw_Data!A353)</f>
        <v>1</v>
      </c>
    </row>
    <row r="354" spans="5:5">
      <c r="E354">
        <f>COUNTIF(Raw_Data!A:A,Raw_Data!A354)</f>
        <v>1</v>
      </c>
    </row>
    <row r="355" spans="5:5">
      <c r="E355">
        <f>COUNTIF(Raw_Data!A:A,Raw_Data!A355)</f>
        <v>1</v>
      </c>
    </row>
    <row r="356" spans="5:5">
      <c r="E356">
        <f>COUNTIF(Raw_Data!A:A,Raw_Data!A356)</f>
        <v>1</v>
      </c>
    </row>
    <row r="357" spans="5:5">
      <c r="E357">
        <f>COUNTIF(Raw_Data!A:A,Raw_Data!A357)</f>
        <v>1</v>
      </c>
    </row>
    <row r="358" spans="5:5">
      <c r="E358">
        <f>COUNTIF(Raw_Data!A:A,Raw_Data!A358)</f>
        <v>1</v>
      </c>
    </row>
    <row r="359" spans="5:5">
      <c r="E359">
        <f>COUNTIF(Raw_Data!A:A,Raw_Data!A359)</f>
        <v>1</v>
      </c>
    </row>
    <row r="360" spans="5:5">
      <c r="E360">
        <f>COUNTIF(Raw_Data!A:A,Raw_Data!A360)</f>
        <v>1</v>
      </c>
    </row>
    <row r="361" spans="5:5">
      <c r="E361">
        <f>COUNTIF(Raw_Data!A:A,Raw_Data!A361)</f>
        <v>1</v>
      </c>
    </row>
    <row r="362" spans="5:5">
      <c r="E362">
        <f>COUNTIF(Raw_Data!A:A,Raw_Data!A362)</f>
        <v>1</v>
      </c>
    </row>
    <row r="363" spans="5:5">
      <c r="E363">
        <f>COUNTIF(Raw_Data!A:A,Raw_Data!A363)</f>
        <v>1</v>
      </c>
    </row>
    <row r="364" spans="5:5">
      <c r="E364">
        <f>COUNTIF(Raw_Data!A:A,Raw_Data!A364)</f>
        <v>1</v>
      </c>
    </row>
    <row r="365" spans="5:5">
      <c r="E365">
        <f>COUNTIF(Raw_Data!A:A,Raw_Data!A365)</f>
        <v>1</v>
      </c>
    </row>
    <row r="366" spans="5:5">
      <c r="E366">
        <f>COUNTIF(Raw_Data!A:A,Raw_Data!A366)</f>
        <v>1</v>
      </c>
    </row>
    <row r="367" spans="5:5">
      <c r="E367">
        <f>COUNTIF(Raw_Data!A:A,Raw_Data!A367)</f>
        <v>1</v>
      </c>
    </row>
    <row r="368" spans="5:5">
      <c r="E368">
        <f>COUNTIF(Raw_Data!A:A,Raw_Data!A368)</f>
        <v>1</v>
      </c>
    </row>
    <row r="369" spans="5:5">
      <c r="E369">
        <f>COUNTIF(Raw_Data!A:A,Raw_Data!A369)</f>
        <v>1</v>
      </c>
    </row>
    <row r="370" spans="5:5">
      <c r="E370">
        <f>COUNTIF(Raw_Data!A:A,Raw_Data!A370)</f>
        <v>1</v>
      </c>
    </row>
    <row r="371" spans="5:5">
      <c r="E371">
        <f>COUNTIF(Raw_Data!A:A,Raw_Data!A371)</f>
        <v>1</v>
      </c>
    </row>
    <row r="372" spans="5:5">
      <c r="E372">
        <f>COUNTIF(Raw_Data!A:A,Raw_Data!A372)</f>
        <v>1</v>
      </c>
    </row>
    <row r="373" spans="5:5">
      <c r="E373">
        <f>COUNTIF(Raw_Data!A:A,Raw_Data!A373)</f>
        <v>1</v>
      </c>
    </row>
    <row r="374" spans="5:5">
      <c r="E374">
        <f>COUNTIF(Raw_Data!A:A,Raw_Data!A374)</f>
        <v>1</v>
      </c>
    </row>
    <row r="375" spans="5:5">
      <c r="E375">
        <f>COUNTIF(Raw_Data!A:A,Raw_Data!A375)</f>
        <v>1</v>
      </c>
    </row>
    <row r="376" spans="5:5">
      <c r="E376">
        <f>COUNTIF(Raw_Data!A:A,Raw_Data!A376)</f>
        <v>1</v>
      </c>
    </row>
    <row r="377" spans="5:5">
      <c r="E377">
        <f>COUNTIF(Raw_Data!A:A,Raw_Data!A377)</f>
        <v>1</v>
      </c>
    </row>
    <row r="378" spans="5:5">
      <c r="E378">
        <f>COUNTIF(Raw_Data!A:A,Raw_Data!A378)</f>
        <v>1</v>
      </c>
    </row>
    <row r="379" spans="5:5">
      <c r="E379">
        <f>COUNTIF(Raw_Data!A:A,Raw_Data!A379)</f>
        <v>1</v>
      </c>
    </row>
    <row r="380" spans="5:5">
      <c r="E380">
        <f>COUNTIF(Raw_Data!A:A,Raw_Data!A380)</f>
        <v>1</v>
      </c>
    </row>
    <row r="381" spans="5:5">
      <c r="E381">
        <f>COUNTIF(Raw_Data!A:A,Raw_Data!A381)</f>
        <v>1</v>
      </c>
    </row>
    <row r="382" spans="5:5">
      <c r="E382">
        <f>COUNTIF(Raw_Data!A:A,Raw_Data!A382)</f>
        <v>1</v>
      </c>
    </row>
    <row r="383" spans="5:5">
      <c r="E383">
        <f>COUNTIF(Raw_Data!A:A,Raw_Data!A383)</f>
        <v>1</v>
      </c>
    </row>
    <row r="384" spans="5:5">
      <c r="E384">
        <f>COUNTIF(Raw_Data!A:A,Raw_Data!A384)</f>
        <v>1</v>
      </c>
    </row>
    <row r="385" spans="5:5">
      <c r="E385">
        <f>COUNTIF(Raw_Data!A:A,Raw_Data!A385)</f>
        <v>1</v>
      </c>
    </row>
    <row r="386" spans="5:5">
      <c r="E386">
        <f>COUNTIF(Raw_Data!A:A,Raw_Data!A386)</f>
        <v>1</v>
      </c>
    </row>
    <row r="387" spans="5:5">
      <c r="E387">
        <f>COUNTIF(Raw_Data!A:A,Raw_Data!A387)</f>
        <v>1</v>
      </c>
    </row>
    <row r="388" spans="5:5">
      <c r="E388">
        <f>COUNTIF(Raw_Data!A:A,Raw_Data!A388)</f>
        <v>1</v>
      </c>
    </row>
    <row r="389" spans="5:5">
      <c r="E389">
        <f>COUNTIF(Raw_Data!A:A,Raw_Data!A389)</f>
        <v>1</v>
      </c>
    </row>
    <row r="390" spans="5:5">
      <c r="E390">
        <f>COUNTIF(Raw_Data!A:A,Raw_Data!A390)</f>
        <v>1</v>
      </c>
    </row>
    <row r="391" spans="5:5">
      <c r="E391">
        <f>COUNTIF(Raw_Data!A:A,Raw_Data!A391)</f>
        <v>1</v>
      </c>
    </row>
    <row r="392" spans="5:5">
      <c r="E392">
        <f>COUNTIF(Raw_Data!A:A,Raw_Data!A392)</f>
        <v>1</v>
      </c>
    </row>
    <row r="393" spans="5:5">
      <c r="E393">
        <f>COUNTIF(Raw_Data!A:A,Raw_Data!A393)</f>
        <v>1</v>
      </c>
    </row>
    <row r="394" spans="5:5">
      <c r="E394">
        <f>COUNTIF(Raw_Data!A:A,Raw_Data!A394)</f>
        <v>1</v>
      </c>
    </row>
    <row r="395" spans="5:5">
      <c r="E395">
        <f>COUNTIF(Raw_Data!A:A,Raw_Data!A395)</f>
        <v>1</v>
      </c>
    </row>
    <row r="396" spans="5:5">
      <c r="E396">
        <f>COUNTIF(Raw_Data!A:A,Raw_Data!A396)</f>
        <v>1</v>
      </c>
    </row>
    <row r="397" spans="5:5">
      <c r="E397">
        <f>COUNTIF(Raw_Data!A:A,Raw_Data!A397)</f>
        <v>1</v>
      </c>
    </row>
    <row r="398" spans="5:5">
      <c r="E398">
        <f>COUNTIF(Raw_Data!A:A,Raw_Data!A398)</f>
        <v>1</v>
      </c>
    </row>
    <row r="399" spans="5:5">
      <c r="E399">
        <f>COUNTIF(Raw_Data!A:A,Raw_Data!A399)</f>
        <v>1</v>
      </c>
    </row>
    <row r="400" spans="5:5">
      <c r="E400">
        <f>COUNTIF(Raw_Data!A:A,Raw_Data!A400)</f>
        <v>1</v>
      </c>
    </row>
    <row r="401" spans="5:5">
      <c r="E401">
        <f>COUNTIF(Raw_Data!A:A,Raw_Data!A401)</f>
        <v>1</v>
      </c>
    </row>
    <row r="402" spans="5:5">
      <c r="E402">
        <f>COUNTIF(Raw_Data!A:A,Raw_Data!A402)</f>
        <v>1</v>
      </c>
    </row>
    <row r="403" spans="5:5">
      <c r="E403">
        <f>COUNTIF(Raw_Data!A:A,Raw_Data!A403)</f>
        <v>1</v>
      </c>
    </row>
    <row r="404" spans="5:5">
      <c r="E404">
        <f>COUNTIF(Raw_Data!A:A,Raw_Data!A404)</f>
        <v>1</v>
      </c>
    </row>
    <row r="405" spans="5:5">
      <c r="E405">
        <f>COUNTIF(Raw_Data!A:A,Raw_Data!A405)</f>
        <v>1</v>
      </c>
    </row>
    <row r="406" spans="5:5">
      <c r="E406">
        <f>COUNTIF(Raw_Data!A:A,Raw_Data!A406)</f>
        <v>1</v>
      </c>
    </row>
    <row r="407" spans="5:5">
      <c r="E407">
        <f>COUNTIF(Raw_Data!A:A,Raw_Data!A407)</f>
        <v>1</v>
      </c>
    </row>
    <row r="408" spans="5:5">
      <c r="E408">
        <f>COUNTIF(Raw_Data!A:A,Raw_Data!A408)</f>
        <v>1</v>
      </c>
    </row>
    <row r="409" spans="5:5">
      <c r="E409">
        <f>COUNTIF(Raw_Data!A:A,Raw_Data!A409)</f>
        <v>1</v>
      </c>
    </row>
    <row r="410" spans="5:5">
      <c r="E410">
        <f>COUNTIF(Raw_Data!A:A,Raw_Data!A410)</f>
        <v>1</v>
      </c>
    </row>
    <row r="411" spans="5:5">
      <c r="E411">
        <f>COUNTIF(Raw_Data!A:A,Raw_Data!A411)</f>
        <v>1</v>
      </c>
    </row>
    <row r="412" spans="5:5">
      <c r="E412">
        <f>COUNTIF(Raw_Data!A:A,Raw_Data!A412)</f>
        <v>1</v>
      </c>
    </row>
    <row r="413" spans="5:5">
      <c r="E413">
        <f>COUNTIF(Raw_Data!A:A,Raw_Data!A413)</f>
        <v>1</v>
      </c>
    </row>
    <row r="414" spans="5:5">
      <c r="E414">
        <f>COUNTIF(Raw_Data!A:A,Raw_Data!A414)</f>
        <v>1</v>
      </c>
    </row>
    <row r="415" spans="5:5">
      <c r="E415">
        <f>COUNTIF(Raw_Data!A:A,Raw_Data!A415)</f>
        <v>1</v>
      </c>
    </row>
    <row r="416" spans="5:5">
      <c r="E416">
        <f>COUNTIF(Raw_Data!A:A,Raw_Data!A416)</f>
        <v>1</v>
      </c>
    </row>
    <row r="417" spans="5:5">
      <c r="E417">
        <f>COUNTIF(Raw_Data!A:A,Raw_Data!A417)</f>
        <v>1</v>
      </c>
    </row>
    <row r="418" spans="5:5">
      <c r="E418">
        <f>COUNTIF(Raw_Data!A:A,Raw_Data!A418)</f>
        <v>1</v>
      </c>
    </row>
    <row r="419" spans="5:5">
      <c r="E419">
        <f>COUNTIF(Raw_Data!A:A,Raw_Data!A419)</f>
        <v>1</v>
      </c>
    </row>
    <row r="420" spans="5:5">
      <c r="E420">
        <f>COUNTIF(Raw_Data!A:A,Raw_Data!A420)</f>
        <v>1</v>
      </c>
    </row>
    <row r="421" spans="5:5">
      <c r="E421">
        <f>COUNTIF(Raw_Data!A:A,Raw_Data!A421)</f>
        <v>1</v>
      </c>
    </row>
    <row r="422" spans="5:5">
      <c r="E422">
        <f>COUNTIF(Raw_Data!A:A,Raw_Data!A422)</f>
        <v>1</v>
      </c>
    </row>
    <row r="423" spans="5:5">
      <c r="E423">
        <f>COUNTIF(Raw_Data!A:A,Raw_Data!A423)</f>
        <v>1</v>
      </c>
    </row>
    <row r="424" spans="5:5">
      <c r="E424">
        <f>COUNTIF(Raw_Data!A:A,Raw_Data!A424)</f>
        <v>1</v>
      </c>
    </row>
    <row r="425" spans="5:5">
      <c r="E425">
        <f>COUNTIF(Raw_Data!A:A,Raw_Data!A425)</f>
        <v>1</v>
      </c>
    </row>
    <row r="426" spans="5:5">
      <c r="E426">
        <f>COUNTIF(Raw_Data!A:A,Raw_Data!A426)</f>
        <v>1</v>
      </c>
    </row>
    <row r="427" spans="5:5">
      <c r="E427">
        <f>COUNTIF(Raw_Data!A:A,Raw_Data!A427)</f>
        <v>1</v>
      </c>
    </row>
    <row r="428" spans="5:5">
      <c r="E428">
        <f>COUNTIF(Raw_Data!A:A,Raw_Data!A428)</f>
        <v>1</v>
      </c>
    </row>
    <row r="429" spans="5:5">
      <c r="E429">
        <f>COUNTIF(Raw_Data!A:A,Raw_Data!A429)</f>
        <v>1</v>
      </c>
    </row>
    <row r="430" spans="5:5">
      <c r="E430">
        <f>COUNTIF(Raw_Data!A:A,Raw_Data!A430)</f>
        <v>1</v>
      </c>
    </row>
    <row r="431" spans="5:5">
      <c r="E431">
        <f>COUNTIF(Raw_Data!A:A,Raw_Data!A431)</f>
        <v>1</v>
      </c>
    </row>
    <row r="432" spans="5:5">
      <c r="E432">
        <f>COUNTIF(Raw_Data!A:A,Raw_Data!A432)</f>
        <v>1</v>
      </c>
    </row>
    <row r="433" spans="5:5">
      <c r="E433">
        <f>COUNTIF(Raw_Data!A:A,Raw_Data!A433)</f>
        <v>1</v>
      </c>
    </row>
    <row r="434" spans="5:5">
      <c r="E434">
        <f>COUNTIF(Raw_Data!A:A,Raw_Data!A434)</f>
        <v>2</v>
      </c>
    </row>
    <row r="435" spans="5:5">
      <c r="E435">
        <f>COUNTIF(Raw_Data!A:A,Raw_Data!A435)</f>
        <v>1</v>
      </c>
    </row>
    <row r="436" spans="5:5">
      <c r="E436">
        <f>COUNTIF(Raw_Data!A:A,Raw_Data!A436)</f>
        <v>1</v>
      </c>
    </row>
    <row r="437" spans="5:5">
      <c r="E437">
        <f>COUNTIF(Raw_Data!A:A,Raw_Data!A437)</f>
        <v>1</v>
      </c>
    </row>
    <row r="438" spans="5:5">
      <c r="E438">
        <f>COUNTIF(Raw_Data!A:A,Raw_Data!A438)</f>
        <v>1</v>
      </c>
    </row>
    <row r="439" spans="5:5">
      <c r="E439">
        <f>COUNTIF(Raw_Data!A:A,Raw_Data!A439)</f>
        <v>1</v>
      </c>
    </row>
    <row r="440" spans="5:5">
      <c r="E440">
        <f>COUNTIF(Raw_Data!A:A,Raw_Data!A440)</f>
        <v>1</v>
      </c>
    </row>
    <row r="441" spans="5:5">
      <c r="E441">
        <f>COUNTIF(Raw_Data!A:A,Raw_Data!A441)</f>
        <v>1</v>
      </c>
    </row>
    <row r="442" spans="5:5">
      <c r="E442">
        <f>COUNTIF(Raw_Data!A:A,Raw_Data!A442)</f>
        <v>1</v>
      </c>
    </row>
    <row r="443" spans="5:5">
      <c r="E443">
        <f>COUNTIF(Raw_Data!A:A,Raw_Data!A443)</f>
        <v>1</v>
      </c>
    </row>
    <row r="444" spans="5:5">
      <c r="E444">
        <f>COUNTIF(Raw_Data!A:A,Raw_Data!A444)</f>
        <v>1</v>
      </c>
    </row>
    <row r="445" spans="5:5">
      <c r="E445">
        <f>COUNTIF(Raw_Data!A:A,Raw_Data!A445)</f>
        <v>1</v>
      </c>
    </row>
    <row r="446" spans="5:5">
      <c r="E446">
        <f>COUNTIF(Raw_Data!A:A,Raw_Data!A446)</f>
        <v>1</v>
      </c>
    </row>
    <row r="447" spans="5:5">
      <c r="E447">
        <f>COUNTIF(Raw_Data!A:A,Raw_Data!A447)</f>
        <v>1</v>
      </c>
    </row>
    <row r="448" spans="5:5">
      <c r="E448">
        <f>COUNTIF(Raw_Data!A:A,Raw_Data!A448)</f>
        <v>1</v>
      </c>
    </row>
    <row r="449" spans="5:5">
      <c r="E449">
        <f>COUNTIF(Raw_Data!A:A,Raw_Data!A449)</f>
        <v>1</v>
      </c>
    </row>
    <row r="450" spans="5:5">
      <c r="E450">
        <f>COUNTIF(Raw_Data!A:A,Raw_Data!A450)</f>
        <v>1</v>
      </c>
    </row>
    <row r="451" spans="5:5">
      <c r="E451">
        <f>COUNTIF(Raw_Data!A:A,Raw_Data!A451)</f>
        <v>1</v>
      </c>
    </row>
    <row r="452" spans="5:5">
      <c r="E452">
        <f>COUNTIF(Raw_Data!A:A,Raw_Data!A452)</f>
        <v>1</v>
      </c>
    </row>
    <row r="453" spans="5:5">
      <c r="E453">
        <f>COUNTIF(Raw_Data!A:A,Raw_Data!A453)</f>
        <v>1</v>
      </c>
    </row>
    <row r="454" spans="5:5">
      <c r="E454">
        <f>COUNTIF(Raw_Data!A:A,Raw_Data!A454)</f>
        <v>1</v>
      </c>
    </row>
    <row r="455" spans="5:5">
      <c r="E455">
        <f>COUNTIF(Raw_Data!A:A,Raw_Data!A455)</f>
        <v>1</v>
      </c>
    </row>
    <row r="456" spans="5:5">
      <c r="E456">
        <f>COUNTIF(Raw_Data!A:A,Raw_Data!A456)</f>
        <v>1</v>
      </c>
    </row>
    <row r="457" spans="5:5">
      <c r="E457">
        <f>COUNTIF(Raw_Data!A:A,Raw_Data!A457)</f>
        <v>1</v>
      </c>
    </row>
    <row r="458" spans="5:5">
      <c r="E458">
        <f>COUNTIF(Raw_Data!A:A,Raw_Data!A458)</f>
        <v>1</v>
      </c>
    </row>
    <row r="459" spans="5:5">
      <c r="E459">
        <f>COUNTIF(Raw_Data!A:A,Raw_Data!A459)</f>
        <v>1</v>
      </c>
    </row>
    <row r="460" spans="5:5">
      <c r="E460">
        <f>COUNTIF(Raw_Data!A:A,Raw_Data!A460)</f>
        <v>1</v>
      </c>
    </row>
    <row r="461" spans="5:5">
      <c r="E461">
        <f>COUNTIF(Raw_Data!A:A,Raw_Data!A461)</f>
        <v>1</v>
      </c>
    </row>
    <row r="462" spans="5:5">
      <c r="E462">
        <f>COUNTIF(Raw_Data!A:A,Raw_Data!A462)</f>
        <v>1</v>
      </c>
    </row>
    <row r="463" spans="5:5">
      <c r="E463">
        <f>COUNTIF(Raw_Data!A:A,Raw_Data!A463)</f>
        <v>1</v>
      </c>
    </row>
    <row r="464" spans="5:5">
      <c r="E464">
        <f>COUNTIF(Raw_Data!A:A,Raw_Data!A464)</f>
        <v>1</v>
      </c>
    </row>
    <row r="465" spans="5:5">
      <c r="E465">
        <f>COUNTIF(Raw_Data!A:A,Raw_Data!A465)</f>
        <v>1</v>
      </c>
    </row>
    <row r="466" spans="5:5">
      <c r="E466">
        <f>COUNTIF(Raw_Data!A:A,Raw_Data!A466)</f>
        <v>1</v>
      </c>
    </row>
    <row r="467" spans="5:5">
      <c r="E467">
        <f>COUNTIF(Raw_Data!A:A,Raw_Data!A467)</f>
        <v>1</v>
      </c>
    </row>
    <row r="468" spans="5:5">
      <c r="E468">
        <f>COUNTIF(Raw_Data!A:A,Raw_Data!A468)</f>
        <v>1</v>
      </c>
    </row>
    <row r="469" spans="5:5">
      <c r="E469">
        <f>COUNTIF(Raw_Data!A:A,Raw_Data!A469)</f>
        <v>1</v>
      </c>
    </row>
    <row r="470" spans="5:5">
      <c r="E470">
        <f>COUNTIF(Raw_Data!A:A,Raw_Data!A470)</f>
        <v>1</v>
      </c>
    </row>
    <row r="471" spans="5:5">
      <c r="E471">
        <f>COUNTIF(Raw_Data!A:A,Raw_Data!A471)</f>
        <v>1</v>
      </c>
    </row>
    <row r="472" spans="5:5">
      <c r="E472">
        <f>COUNTIF(Raw_Data!A:A,Raw_Data!A472)</f>
        <v>1</v>
      </c>
    </row>
    <row r="473" spans="5:5">
      <c r="E473">
        <f>COUNTIF(Raw_Data!A:A,Raw_Data!A473)</f>
        <v>1</v>
      </c>
    </row>
    <row r="474" spans="5:5">
      <c r="E474">
        <f>COUNTIF(Raw_Data!A:A,Raw_Data!A474)</f>
        <v>1</v>
      </c>
    </row>
    <row r="475" spans="5:5">
      <c r="E475">
        <f>COUNTIF(Raw_Data!A:A,Raw_Data!A475)</f>
        <v>1</v>
      </c>
    </row>
    <row r="476" spans="5:5">
      <c r="E476">
        <f>COUNTIF(Raw_Data!A:A,Raw_Data!A476)</f>
        <v>1</v>
      </c>
    </row>
    <row r="477" spans="5:5">
      <c r="E477">
        <f>COUNTIF(Raw_Data!A:A,Raw_Data!A477)</f>
        <v>1</v>
      </c>
    </row>
    <row r="478" spans="5:5">
      <c r="E478">
        <f>COUNTIF(Raw_Data!A:A,Raw_Data!A478)</f>
        <v>1</v>
      </c>
    </row>
    <row r="479" spans="5:5">
      <c r="E479">
        <f>COUNTIF(Raw_Data!A:A,Raw_Data!A479)</f>
        <v>1</v>
      </c>
    </row>
    <row r="480" spans="5:5">
      <c r="E480">
        <f>COUNTIF(Raw_Data!A:A,Raw_Data!A480)</f>
        <v>1</v>
      </c>
    </row>
    <row r="481" spans="5:5">
      <c r="E481">
        <f>COUNTIF(Raw_Data!A:A,Raw_Data!A481)</f>
        <v>1</v>
      </c>
    </row>
    <row r="482" spans="5:5">
      <c r="E482">
        <f>COUNTIF(Raw_Data!A:A,Raw_Data!A482)</f>
        <v>1</v>
      </c>
    </row>
    <row r="483" spans="5:5">
      <c r="E483">
        <f>COUNTIF(Raw_Data!A:A,Raw_Data!A483)</f>
        <v>1</v>
      </c>
    </row>
    <row r="484" spans="5:5">
      <c r="E484">
        <f>COUNTIF(Raw_Data!A:A,Raw_Data!A484)</f>
        <v>1</v>
      </c>
    </row>
    <row r="485" spans="5:5">
      <c r="E485">
        <f>COUNTIF(Raw_Data!A:A,Raw_Data!A485)</f>
        <v>1</v>
      </c>
    </row>
    <row r="486" spans="5:5">
      <c r="E486">
        <f>COUNTIF(Raw_Data!A:A,Raw_Data!A486)</f>
        <v>1</v>
      </c>
    </row>
    <row r="487" spans="5:5">
      <c r="E487">
        <f>COUNTIF(Raw_Data!A:A,Raw_Data!A487)</f>
        <v>1</v>
      </c>
    </row>
    <row r="488" spans="5:5">
      <c r="E488">
        <f>COUNTIF(Raw_Data!A:A,Raw_Data!A488)</f>
        <v>1</v>
      </c>
    </row>
    <row r="489" spans="5:5">
      <c r="E489">
        <f>COUNTIF(Raw_Data!A:A,Raw_Data!A489)</f>
        <v>1</v>
      </c>
    </row>
    <row r="490" spans="5:5">
      <c r="E490">
        <f>COUNTIF(Raw_Data!A:A,Raw_Data!A490)</f>
        <v>1</v>
      </c>
    </row>
    <row r="491" spans="5:5">
      <c r="E491">
        <f>COUNTIF(Raw_Data!A:A,Raw_Data!A491)</f>
        <v>1</v>
      </c>
    </row>
    <row r="492" spans="5:5">
      <c r="E492">
        <f>COUNTIF(Raw_Data!A:A,Raw_Data!A492)</f>
        <v>1</v>
      </c>
    </row>
    <row r="493" spans="5:5">
      <c r="E493">
        <f>COUNTIF(Raw_Data!A:A,Raw_Data!A493)</f>
        <v>1</v>
      </c>
    </row>
    <row r="494" spans="5:5">
      <c r="E494">
        <f>COUNTIF(Raw_Data!A:A,Raw_Data!A494)</f>
        <v>1</v>
      </c>
    </row>
    <row r="495" spans="5:5">
      <c r="E495">
        <f>COUNTIF(Raw_Data!A:A,Raw_Data!A495)</f>
        <v>1</v>
      </c>
    </row>
    <row r="496" spans="5:5">
      <c r="E496">
        <f>COUNTIF(Raw_Data!A:A,Raw_Data!A496)</f>
        <v>1</v>
      </c>
    </row>
    <row r="497" spans="5:5">
      <c r="E497">
        <f>COUNTIF(Raw_Data!A:A,Raw_Data!A497)</f>
        <v>1</v>
      </c>
    </row>
    <row r="498" spans="5:5">
      <c r="E498">
        <f>COUNTIF(Raw_Data!A:A,Raw_Data!A498)</f>
        <v>1</v>
      </c>
    </row>
    <row r="499" spans="5:5">
      <c r="E499">
        <f>COUNTIF(Raw_Data!A:A,Raw_Data!A499)</f>
        <v>1</v>
      </c>
    </row>
    <row r="500" spans="5:5">
      <c r="E500">
        <f>COUNTIF(Raw_Data!A:A,Raw_Data!A500)</f>
        <v>1</v>
      </c>
    </row>
    <row r="501" spans="5:5">
      <c r="E501">
        <f>COUNTIF(Raw_Data!A:A,Raw_Data!A501)</f>
        <v>1</v>
      </c>
    </row>
    <row r="502" spans="5:5">
      <c r="E502">
        <f>COUNTIF(Raw_Data!A:A,Raw_Data!A502)</f>
        <v>1</v>
      </c>
    </row>
    <row r="503" spans="5:5">
      <c r="E503">
        <f>COUNTIF(Raw_Data!A:A,Raw_Data!A503)</f>
        <v>1</v>
      </c>
    </row>
    <row r="504" spans="5:5">
      <c r="E504">
        <f>COUNTIF(Raw_Data!A:A,Raw_Data!A504)</f>
        <v>1</v>
      </c>
    </row>
    <row r="505" spans="5:5">
      <c r="E505">
        <f>COUNTIF(Raw_Data!A:A,Raw_Data!A505)</f>
        <v>1</v>
      </c>
    </row>
    <row r="506" spans="5:5">
      <c r="E506">
        <f>COUNTIF(Raw_Data!A:A,Raw_Data!A506)</f>
        <v>1</v>
      </c>
    </row>
    <row r="507" spans="5:5">
      <c r="E507">
        <f>COUNTIF(Raw_Data!A:A,Raw_Data!A507)</f>
        <v>1</v>
      </c>
    </row>
    <row r="508" spans="5:5">
      <c r="E508">
        <f>COUNTIF(Raw_Data!A:A,Raw_Data!A508)</f>
        <v>1</v>
      </c>
    </row>
    <row r="509" spans="5:5">
      <c r="E509">
        <f>COUNTIF(Raw_Data!A:A,Raw_Data!A509)</f>
        <v>1</v>
      </c>
    </row>
    <row r="510" spans="5:5">
      <c r="E510">
        <f>COUNTIF(Raw_Data!A:A,Raw_Data!A510)</f>
        <v>1</v>
      </c>
    </row>
    <row r="511" spans="5:5">
      <c r="E511">
        <f>COUNTIF(Raw_Data!A:A,Raw_Data!A511)</f>
        <v>1</v>
      </c>
    </row>
    <row r="512" spans="5:5">
      <c r="E512">
        <f>COUNTIF(Raw_Data!A:A,Raw_Data!A512)</f>
        <v>1</v>
      </c>
    </row>
    <row r="513" spans="5:5">
      <c r="E513">
        <f>COUNTIF(Raw_Data!A:A,Raw_Data!A513)</f>
        <v>1</v>
      </c>
    </row>
    <row r="514" spans="5:5">
      <c r="E514">
        <f>COUNTIF(Raw_Data!A:A,Raw_Data!A514)</f>
        <v>1</v>
      </c>
    </row>
    <row r="515" spans="5:5">
      <c r="E515">
        <f>COUNTIF(Raw_Data!A:A,Raw_Data!A515)</f>
        <v>1</v>
      </c>
    </row>
    <row r="516" spans="5:5">
      <c r="E516">
        <f>COUNTIF(Raw_Data!A:A,Raw_Data!A516)</f>
        <v>1</v>
      </c>
    </row>
    <row r="517" spans="5:5">
      <c r="E517">
        <f>COUNTIF(Raw_Data!A:A,Raw_Data!A517)</f>
        <v>1</v>
      </c>
    </row>
    <row r="518" spans="5:5">
      <c r="E518">
        <f>COUNTIF(Raw_Data!A:A,Raw_Data!A518)</f>
        <v>1</v>
      </c>
    </row>
    <row r="519" spans="5:5">
      <c r="E519">
        <f>COUNTIF(Raw_Data!A:A,Raw_Data!A519)</f>
        <v>1</v>
      </c>
    </row>
    <row r="520" spans="5:5">
      <c r="E520">
        <f>COUNTIF(Raw_Data!A:A,Raw_Data!A520)</f>
        <v>1</v>
      </c>
    </row>
    <row r="521" spans="5:5">
      <c r="E521">
        <f>COUNTIF(Raw_Data!A:A,Raw_Data!A521)</f>
        <v>1</v>
      </c>
    </row>
    <row r="522" spans="5:5">
      <c r="E522">
        <f>COUNTIF(Raw_Data!A:A,Raw_Data!A522)</f>
        <v>1</v>
      </c>
    </row>
    <row r="523" spans="5:5">
      <c r="E523">
        <f>COUNTIF(Raw_Data!A:A,Raw_Data!A523)</f>
        <v>1</v>
      </c>
    </row>
    <row r="524" spans="5:5">
      <c r="E524">
        <f>COUNTIF(Raw_Data!A:A,Raw_Data!A524)</f>
        <v>1</v>
      </c>
    </row>
    <row r="525" spans="5:5">
      <c r="E525">
        <f>COUNTIF(Raw_Data!A:A,Raw_Data!A525)</f>
        <v>1</v>
      </c>
    </row>
    <row r="526" spans="5:5">
      <c r="E526">
        <f>COUNTIF(Raw_Data!A:A,Raw_Data!A526)</f>
        <v>1</v>
      </c>
    </row>
    <row r="527" spans="5:5">
      <c r="E527">
        <f>COUNTIF(Raw_Data!A:A,Raw_Data!A527)</f>
        <v>1</v>
      </c>
    </row>
    <row r="528" spans="5:5">
      <c r="E528">
        <f>COUNTIF(Raw_Data!A:A,Raw_Data!A528)</f>
        <v>1</v>
      </c>
    </row>
    <row r="529" spans="5:5">
      <c r="E529">
        <f>COUNTIF(Raw_Data!A:A,Raw_Data!A529)</f>
        <v>1</v>
      </c>
    </row>
    <row r="530" spans="5:5">
      <c r="E530">
        <f>COUNTIF(Raw_Data!A:A,Raw_Data!A530)</f>
        <v>1</v>
      </c>
    </row>
    <row r="531" spans="5:5">
      <c r="E531">
        <f>COUNTIF(Raw_Data!A:A,Raw_Data!A531)</f>
        <v>1</v>
      </c>
    </row>
    <row r="532" spans="5:5">
      <c r="E532">
        <f>COUNTIF(Raw_Data!A:A,Raw_Data!A532)</f>
        <v>1</v>
      </c>
    </row>
    <row r="533" spans="5:5">
      <c r="E533">
        <f>COUNTIF(Raw_Data!A:A,Raw_Data!A533)</f>
        <v>1</v>
      </c>
    </row>
    <row r="534" spans="5:5">
      <c r="E534">
        <f>COUNTIF(Raw_Data!A:A,Raw_Data!A534)</f>
        <v>1</v>
      </c>
    </row>
    <row r="535" spans="5:5">
      <c r="E535">
        <f>COUNTIF(Raw_Data!A:A,Raw_Data!A535)</f>
        <v>1</v>
      </c>
    </row>
    <row r="536" spans="5:5">
      <c r="E536">
        <f>COUNTIF(Raw_Data!A:A,Raw_Data!A536)</f>
        <v>1</v>
      </c>
    </row>
    <row r="537" spans="5:5">
      <c r="E537">
        <f>COUNTIF(Raw_Data!A:A,Raw_Data!A537)</f>
        <v>1</v>
      </c>
    </row>
    <row r="538" spans="5:5">
      <c r="E538">
        <f>COUNTIF(Raw_Data!A:A,Raw_Data!A538)</f>
        <v>1</v>
      </c>
    </row>
    <row r="539" spans="5:5">
      <c r="E539">
        <f>COUNTIF(Raw_Data!A:A,Raw_Data!A539)</f>
        <v>1</v>
      </c>
    </row>
    <row r="540" spans="5:5">
      <c r="E540">
        <f>COUNTIF(Raw_Data!A:A,Raw_Data!A540)</f>
        <v>1</v>
      </c>
    </row>
    <row r="541" spans="5:5">
      <c r="E541">
        <f>COUNTIF(Raw_Data!A:A,Raw_Data!A541)</f>
        <v>1</v>
      </c>
    </row>
    <row r="542" spans="5:5">
      <c r="E542">
        <f>COUNTIF(Raw_Data!A:A,Raw_Data!A542)</f>
        <v>2</v>
      </c>
    </row>
    <row r="543" spans="5:5">
      <c r="E543">
        <f>COUNTIF(Raw_Data!A:A,Raw_Data!A543)</f>
        <v>1</v>
      </c>
    </row>
    <row r="544" spans="5:5">
      <c r="E544">
        <f>COUNTIF(Raw_Data!A:A,Raw_Data!A544)</f>
        <v>1</v>
      </c>
    </row>
    <row r="545" spans="5:5">
      <c r="E545">
        <f>COUNTIF(Raw_Data!A:A,Raw_Data!A545)</f>
        <v>1</v>
      </c>
    </row>
    <row r="546" spans="5:5">
      <c r="E546">
        <f>COUNTIF(Raw_Data!A:A,Raw_Data!A546)</f>
        <v>1</v>
      </c>
    </row>
    <row r="547" spans="5:5">
      <c r="E547">
        <f>COUNTIF(Raw_Data!A:A,Raw_Data!A547)</f>
        <v>1</v>
      </c>
    </row>
    <row r="548" spans="5:5">
      <c r="E548">
        <f>COUNTIF(Raw_Data!A:A,Raw_Data!A548)</f>
        <v>1</v>
      </c>
    </row>
    <row r="549" spans="5:5">
      <c r="E549">
        <f>COUNTIF(Raw_Data!A:A,Raw_Data!A549)</f>
        <v>1</v>
      </c>
    </row>
    <row r="550" spans="5:5">
      <c r="E550">
        <f>COUNTIF(Raw_Data!A:A,Raw_Data!A550)</f>
        <v>1</v>
      </c>
    </row>
    <row r="551" spans="5:5">
      <c r="E551">
        <f>COUNTIF(Raw_Data!A:A,Raw_Data!A551)</f>
        <v>1</v>
      </c>
    </row>
    <row r="552" spans="5:5">
      <c r="E552">
        <f>COUNTIF(Raw_Data!A:A,Raw_Data!A552)</f>
        <v>1</v>
      </c>
    </row>
    <row r="553" spans="5:5">
      <c r="E553">
        <f>COUNTIF(Raw_Data!A:A,Raw_Data!A553)</f>
        <v>1</v>
      </c>
    </row>
    <row r="554" spans="5:5">
      <c r="E554">
        <f>COUNTIF(Raw_Data!A:A,Raw_Data!A554)</f>
        <v>1</v>
      </c>
    </row>
    <row r="555" spans="5:5">
      <c r="E555">
        <f>COUNTIF(Raw_Data!A:A,Raw_Data!A555)</f>
        <v>1</v>
      </c>
    </row>
    <row r="556" spans="5:5">
      <c r="E556">
        <f>COUNTIF(Raw_Data!A:A,Raw_Data!A556)</f>
        <v>1</v>
      </c>
    </row>
    <row r="557" spans="5:5">
      <c r="E557">
        <f>COUNTIF(Raw_Data!A:A,Raw_Data!A557)</f>
        <v>1</v>
      </c>
    </row>
    <row r="558" spans="5:5">
      <c r="E558">
        <f>COUNTIF(Raw_Data!A:A,Raw_Data!A558)</f>
        <v>1</v>
      </c>
    </row>
    <row r="559" spans="5:5">
      <c r="E559">
        <f>COUNTIF(Raw_Data!A:A,Raw_Data!A559)</f>
        <v>1</v>
      </c>
    </row>
    <row r="560" spans="5:5">
      <c r="E560">
        <f>COUNTIF(Raw_Data!A:A,Raw_Data!A560)</f>
        <v>1</v>
      </c>
    </row>
    <row r="561" spans="5:5">
      <c r="E561">
        <f>COUNTIF(Raw_Data!A:A,Raw_Data!A561)</f>
        <v>1</v>
      </c>
    </row>
    <row r="562" spans="5:5">
      <c r="E562">
        <f>COUNTIF(Raw_Data!A:A,Raw_Data!A562)</f>
        <v>1</v>
      </c>
    </row>
    <row r="563" spans="5:5">
      <c r="E563">
        <f>COUNTIF(Raw_Data!A:A,Raw_Data!A563)</f>
        <v>1</v>
      </c>
    </row>
    <row r="564" spans="5:5">
      <c r="E564">
        <f>COUNTIF(Raw_Data!A:A,Raw_Data!A564)</f>
        <v>1</v>
      </c>
    </row>
    <row r="565" spans="5:5">
      <c r="E565">
        <f>COUNTIF(Raw_Data!A:A,Raw_Data!A565)</f>
        <v>1</v>
      </c>
    </row>
    <row r="566" spans="5:5">
      <c r="E566">
        <f>COUNTIF(Raw_Data!A:A,Raw_Data!A566)</f>
        <v>1</v>
      </c>
    </row>
    <row r="567" spans="5:5">
      <c r="E567">
        <f>COUNTIF(Raw_Data!A:A,Raw_Data!A567)</f>
        <v>1</v>
      </c>
    </row>
    <row r="568" spans="5:5">
      <c r="E568">
        <f>COUNTIF(Raw_Data!A:A,Raw_Data!A568)</f>
        <v>1</v>
      </c>
    </row>
    <row r="569" spans="5:5">
      <c r="E569">
        <f>COUNTIF(Raw_Data!A:A,Raw_Data!A569)</f>
        <v>1</v>
      </c>
    </row>
    <row r="570" spans="5:5">
      <c r="E570">
        <f>COUNTIF(Raw_Data!A:A,Raw_Data!A570)</f>
        <v>1</v>
      </c>
    </row>
    <row r="571" spans="5:5">
      <c r="E571">
        <f>COUNTIF(Raw_Data!A:A,Raw_Data!A571)</f>
        <v>1</v>
      </c>
    </row>
    <row r="572" spans="5:5">
      <c r="E572">
        <f>COUNTIF(Raw_Data!A:A,Raw_Data!A572)</f>
        <v>1</v>
      </c>
    </row>
    <row r="573" spans="5:5">
      <c r="E573">
        <f>COUNTIF(Raw_Data!A:A,Raw_Data!A573)</f>
        <v>1</v>
      </c>
    </row>
    <row r="574" spans="5:5">
      <c r="E574">
        <f>COUNTIF(Raw_Data!A:A,Raw_Data!A574)</f>
        <v>1</v>
      </c>
    </row>
    <row r="575" spans="5:5">
      <c r="E575">
        <f>COUNTIF(Raw_Data!A:A,Raw_Data!A575)</f>
        <v>1</v>
      </c>
    </row>
    <row r="576" spans="5:5">
      <c r="E576">
        <f>COUNTIF(Raw_Data!A:A,Raw_Data!A576)</f>
        <v>1</v>
      </c>
    </row>
    <row r="577" spans="5:5">
      <c r="E577">
        <f>COUNTIF(Raw_Data!A:A,Raw_Data!A577)</f>
        <v>1</v>
      </c>
    </row>
    <row r="578" spans="5:5">
      <c r="E578">
        <f>COUNTIF(Raw_Data!A:A,Raw_Data!A578)</f>
        <v>1</v>
      </c>
    </row>
    <row r="579" spans="5:5">
      <c r="E579">
        <f>COUNTIF(Raw_Data!A:A,Raw_Data!A579)</f>
        <v>1</v>
      </c>
    </row>
    <row r="580" spans="5:5">
      <c r="E580">
        <f>COUNTIF(Raw_Data!A:A,Raw_Data!A580)</f>
        <v>1</v>
      </c>
    </row>
    <row r="581" spans="5:5">
      <c r="E581">
        <f>COUNTIF(Raw_Data!A:A,Raw_Data!A581)</f>
        <v>1</v>
      </c>
    </row>
    <row r="582" spans="5:5">
      <c r="E582">
        <f>COUNTIF(Raw_Data!A:A,Raw_Data!A582)</f>
        <v>1</v>
      </c>
    </row>
    <row r="583" spans="5:5">
      <c r="E583">
        <f>COUNTIF(Raw_Data!A:A,Raw_Data!A583)</f>
        <v>1</v>
      </c>
    </row>
    <row r="584" spans="5:5">
      <c r="E584">
        <f>COUNTIF(Raw_Data!A:A,Raw_Data!A584)</f>
        <v>1</v>
      </c>
    </row>
    <row r="585" spans="5:5">
      <c r="E585">
        <f>COUNTIF(Raw_Data!A:A,Raw_Data!A585)</f>
        <v>1</v>
      </c>
    </row>
    <row r="586" spans="5:5">
      <c r="E586">
        <f>COUNTIF(Raw_Data!A:A,Raw_Data!A586)</f>
        <v>1</v>
      </c>
    </row>
    <row r="587" spans="5:5">
      <c r="E587">
        <f>COUNTIF(Raw_Data!A:A,Raw_Data!A587)</f>
        <v>1</v>
      </c>
    </row>
    <row r="588" spans="5:5">
      <c r="E588">
        <f>COUNTIF(Raw_Data!A:A,Raw_Data!A588)</f>
        <v>1</v>
      </c>
    </row>
    <row r="589" spans="5:5">
      <c r="E589">
        <f>COUNTIF(Raw_Data!A:A,Raw_Data!A589)</f>
        <v>1</v>
      </c>
    </row>
    <row r="590" spans="5:5">
      <c r="E590">
        <f>COUNTIF(Raw_Data!A:A,Raw_Data!A590)</f>
        <v>1</v>
      </c>
    </row>
    <row r="591" spans="5:5">
      <c r="E591">
        <f>COUNTIF(Raw_Data!A:A,Raw_Data!A591)</f>
        <v>1</v>
      </c>
    </row>
    <row r="592" spans="5:5">
      <c r="E592">
        <f>COUNTIF(Raw_Data!A:A,Raw_Data!A592)</f>
        <v>1</v>
      </c>
    </row>
    <row r="593" spans="5:5">
      <c r="E593">
        <f>COUNTIF(Raw_Data!A:A,Raw_Data!A593)</f>
        <v>1</v>
      </c>
    </row>
    <row r="594" spans="5:5">
      <c r="E594">
        <f>COUNTIF(Raw_Data!A:A,Raw_Data!A594)</f>
        <v>1</v>
      </c>
    </row>
    <row r="595" spans="5:5">
      <c r="E595">
        <f>COUNTIF(Raw_Data!A:A,Raw_Data!A595)</f>
        <v>1</v>
      </c>
    </row>
    <row r="596" spans="5:5">
      <c r="E596">
        <f>COUNTIF(Raw_Data!A:A,Raw_Data!A596)</f>
        <v>1</v>
      </c>
    </row>
    <row r="597" spans="5:5">
      <c r="E597">
        <f>COUNTIF(Raw_Data!A:A,Raw_Data!A597)</f>
        <v>1</v>
      </c>
    </row>
    <row r="598" spans="5:5">
      <c r="E598">
        <f>COUNTIF(Raw_Data!A:A,Raw_Data!A598)</f>
        <v>1</v>
      </c>
    </row>
    <row r="599" spans="5:5">
      <c r="E599">
        <f>COUNTIF(Raw_Data!A:A,Raw_Data!A599)</f>
        <v>1</v>
      </c>
    </row>
    <row r="600" spans="5:5">
      <c r="E600">
        <f>COUNTIF(Raw_Data!A:A,Raw_Data!A600)</f>
        <v>1</v>
      </c>
    </row>
    <row r="601" spans="5:5">
      <c r="E601">
        <f>COUNTIF(Raw_Data!A:A,Raw_Data!A601)</f>
        <v>1</v>
      </c>
    </row>
    <row r="602" spans="5:5">
      <c r="E602">
        <f>COUNTIF(Raw_Data!A:A,Raw_Data!A602)</f>
        <v>1</v>
      </c>
    </row>
    <row r="603" spans="5:5">
      <c r="E603">
        <f>COUNTIF(Raw_Data!A:A,Raw_Data!A603)</f>
        <v>1</v>
      </c>
    </row>
    <row r="604" spans="5:5">
      <c r="E604">
        <f>COUNTIF(Raw_Data!A:A,Raw_Data!A604)</f>
        <v>1</v>
      </c>
    </row>
    <row r="605" spans="5:5">
      <c r="E605">
        <f>COUNTIF(Raw_Data!A:A,Raw_Data!A605)</f>
        <v>1</v>
      </c>
    </row>
    <row r="606" spans="5:5">
      <c r="E606">
        <f>COUNTIF(Raw_Data!A:A,Raw_Data!A606)</f>
        <v>1</v>
      </c>
    </row>
    <row r="607" spans="5:5">
      <c r="E607">
        <f>COUNTIF(Raw_Data!A:A,Raw_Data!A607)</f>
        <v>1</v>
      </c>
    </row>
    <row r="608" spans="5:5">
      <c r="E608">
        <f>COUNTIF(Raw_Data!A:A,Raw_Data!A608)</f>
        <v>1</v>
      </c>
    </row>
    <row r="609" spans="5:5">
      <c r="E609">
        <f>COUNTIF(Raw_Data!A:A,Raw_Data!A609)</f>
        <v>1</v>
      </c>
    </row>
    <row r="610" spans="5:5">
      <c r="E610">
        <f>COUNTIF(Raw_Data!A:A,Raw_Data!A610)</f>
        <v>1</v>
      </c>
    </row>
    <row r="611" spans="5:5">
      <c r="E611">
        <f>COUNTIF(Raw_Data!A:A,Raw_Data!A611)</f>
        <v>1</v>
      </c>
    </row>
    <row r="612" spans="5:5">
      <c r="E612">
        <f>COUNTIF(Raw_Data!A:A,Raw_Data!A612)</f>
        <v>1</v>
      </c>
    </row>
    <row r="613" spans="5:5">
      <c r="E613">
        <f>COUNTIF(Raw_Data!A:A,Raw_Data!A613)</f>
        <v>1</v>
      </c>
    </row>
    <row r="614" spans="5:5">
      <c r="E614">
        <f>COUNTIF(Raw_Data!A:A,Raw_Data!A614)</f>
        <v>1</v>
      </c>
    </row>
    <row r="615" spans="5:5">
      <c r="E615">
        <f>COUNTIF(Raw_Data!A:A,Raw_Data!A615)</f>
        <v>1</v>
      </c>
    </row>
    <row r="616" spans="5:5">
      <c r="E616">
        <f>COUNTIF(Raw_Data!A:A,Raw_Data!A616)</f>
        <v>1</v>
      </c>
    </row>
    <row r="617" spans="5:5">
      <c r="E617">
        <f>COUNTIF(Raw_Data!A:A,Raw_Data!A617)</f>
        <v>1</v>
      </c>
    </row>
    <row r="618" spans="5:5">
      <c r="E618">
        <f>COUNTIF(Raw_Data!A:A,Raw_Data!A618)</f>
        <v>1</v>
      </c>
    </row>
    <row r="619" spans="5:5">
      <c r="E619">
        <f>COUNTIF(Raw_Data!A:A,Raw_Data!A619)</f>
        <v>1</v>
      </c>
    </row>
    <row r="620" spans="5:5">
      <c r="E620">
        <f>COUNTIF(Raw_Data!A:A,Raw_Data!A620)</f>
        <v>1</v>
      </c>
    </row>
    <row r="621" spans="5:5">
      <c r="E621">
        <f>COUNTIF(Raw_Data!A:A,Raw_Data!A621)</f>
        <v>1</v>
      </c>
    </row>
    <row r="622" spans="5:5">
      <c r="E622">
        <f>COUNTIF(Raw_Data!A:A,Raw_Data!A622)</f>
        <v>1</v>
      </c>
    </row>
    <row r="623" spans="5:5">
      <c r="E623">
        <f>COUNTIF(Raw_Data!A:A,Raw_Data!A623)</f>
        <v>1</v>
      </c>
    </row>
    <row r="624" spans="5:5">
      <c r="E624">
        <f>COUNTIF(Raw_Data!A:A,Raw_Data!A624)</f>
        <v>1</v>
      </c>
    </row>
    <row r="625" spans="5:5">
      <c r="E625">
        <f>COUNTIF(Raw_Data!A:A,Raw_Data!A625)</f>
        <v>1</v>
      </c>
    </row>
    <row r="626" spans="5:5">
      <c r="E626">
        <f>COUNTIF(Raw_Data!A:A,Raw_Data!A626)</f>
        <v>1</v>
      </c>
    </row>
    <row r="627" spans="5:5">
      <c r="E627">
        <f>COUNTIF(Raw_Data!A:A,Raw_Data!A627)</f>
        <v>1</v>
      </c>
    </row>
    <row r="628" spans="5:5">
      <c r="E628">
        <f>COUNTIF(Raw_Data!A:A,Raw_Data!A628)</f>
        <v>1</v>
      </c>
    </row>
    <row r="629" spans="5:5">
      <c r="E629">
        <f>COUNTIF(Raw_Data!A:A,Raw_Data!A629)</f>
        <v>1</v>
      </c>
    </row>
    <row r="630" spans="5:5">
      <c r="E630">
        <f>COUNTIF(Raw_Data!A:A,Raw_Data!A630)</f>
        <v>1</v>
      </c>
    </row>
    <row r="631" spans="5:5">
      <c r="E631">
        <f>COUNTIF(Raw_Data!A:A,Raw_Data!A631)</f>
        <v>1</v>
      </c>
    </row>
    <row r="632" spans="5:5">
      <c r="E632">
        <f>COUNTIF(Raw_Data!A:A,Raw_Data!A632)</f>
        <v>1</v>
      </c>
    </row>
    <row r="633" spans="5:5">
      <c r="E633">
        <f>COUNTIF(Raw_Data!A:A,Raw_Data!A633)</f>
        <v>1</v>
      </c>
    </row>
    <row r="634" spans="5:5">
      <c r="E634">
        <f>COUNTIF(Raw_Data!A:A,Raw_Data!A634)</f>
        <v>1</v>
      </c>
    </row>
    <row r="635" spans="5:5">
      <c r="E635">
        <f>COUNTIF(Raw_Data!A:A,Raw_Data!A635)</f>
        <v>1</v>
      </c>
    </row>
    <row r="636" spans="5:5">
      <c r="E636">
        <f>COUNTIF(Raw_Data!A:A,Raw_Data!A636)</f>
        <v>1</v>
      </c>
    </row>
    <row r="637" spans="5:5">
      <c r="E637">
        <f>COUNTIF(Raw_Data!A:A,Raw_Data!A637)</f>
        <v>1</v>
      </c>
    </row>
    <row r="638" spans="5:5">
      <c r="E638">
        <f>COUNTIF(Raw_Data!A:A,Raw_Data!A638)</f>
        <v>1</v>
      </c>
    </row>
    <row r="639" spans="5:5">
      <c r="E639">
        <f>COUNTIF(Raw_Data!A:A,Raw_Data!A639)</f>
        <v>1</v>
      </c>
    </row>
    <row r="640" spans="5:5">
      <c r="E640">
        <f>COUNTIF(Raw_Data!A:A,Raw_Data!A640)</f>
        <v>1</v>
      </c>
    </row>
    <row r="641" spans="5:5">
      <c r="E641">
        <f>COUNTIF(Raw_Data!A:A,Raw_Data!A641)</f>
        <v>1</v>
      </c>
    </row>
    <row r="642" spans="5:5">
      <c r="E642">
        <f>COUNTIF(Raw_Data!A:A,Raw_Data!A642)</f>
        <v>1</v>
      </c>
    </row>
    <row r="643" spans="5:5">
      <c r="E643">
        <f>COUNTIF(Raw_Data!A:A,Raw_Data!A643)</f>
        <v>1</v>
      </c>
    </row>
    <row r="644" spans="5:5">
      <c r="E644">
        <f>COUNTIF(Raw_Data!A:A,Raw_Data!A644)</f>
        <v>1</v>
      </c>
    </row>
    <row r="645" spans="5:5">
      <c r="E645">
        <f>COUNTIF(Raw_Data!A:A,Raw_Data!A645)</f>
        <v>1</v>
      </c>
    </row>
    <row r="646" spans="5:5">
      <c r="E646">
        <f>COUNTIF(Raw_Data!A:A,Raw_Data!A646)</f>
        <v>1</v>
      </c>
    </row>
    <row r="647" spans="5:5">
      <c r="E647">
        <f>COUNTIF(Raw_Data!A:A,Raw_Data!A647)</f>
        <v>1</v>
      </c>
    </row>
    <row r="648" spans="5:5">
      <c r="E648">
        <f>COUNTIF(Raw_Data!A:A,Raw_Data!A648)</f>
        <v>1</v>
      </c>
    </row>
    <row r="649" spans="5:5">
      <c r="E649">
        <f>COUNTIF(Raw_Data!A:A,Raw_Data!A649)</f>
        <v>1</v>
      </c>
    </row>
    <row r="650" spans="5:5">
      <c r="E650">
        <f>COUNTIF(Raw_Data!A:A,Raw_Data!A650)</f>
        <v>1</v>
      </c>
    </row>
    <row r="651" spans="5:5">
      <c r="E651">
        <f>COUNTIF(Raw_Data!A:A,Raw_Data!A651)</f>
        <v>1</v>
      </c>
    </row>
    <row r="652" spans="5:5">
      <c r="E652">
        <f>COUNTIF(Raw_Data!A:A,Raw_Data!A652)</f>
        <v>1</v>
      </c>
    </row>
    <row r="653" spans="5:5">
      <c r="E653">
        <f>COUNTIF(Raw_Data!A:A,Raw_Data!A653)</f>
        <v>1</v>
      </c>
    </row>
    <row r="654" spans="5:5">
      <c r="E654">
        <f>COUNTIF(Raw_Data!A:A,Raw_Data!A654)</f>
        <v>1</v>
      </c>
    </row>
    <row r="655" spans="5:5">
      <c r="E655">
        <f>COUNTIF(Raw_Data!A:A,Raw_Data!A655)</f>
        <v>1</v>
      </c>
    </row>
    <row r="656" spans="5:5">
      <c r="E656">
        <f>COUNTIF(Raw_Data!A:A,Raw_Data!A656)</f>
        <v>1</v>
      </c>
    </row>
    <row r="657" spans="5:5">
      <c r="E657">
        <f>COUNTIF(Raw_Data!A:A,Raw_Data!A657)</f>
        <v>1</v>
      </c>
    </row>
    <row r="658" spans="5:5">
      <c r="E658">
        <f>COUNTIF(Raw_Data!A:A,Raw_Data!A658)</f>
        <v>1</v>
      </c>
    </row>
    <row r="659" spans="5:5">
      <c r="E659">
        <f>COUNTIF(Raw_Data!A:A,Raw_Data!A659)</f>
        <v>1</v>
      </c>
    </row>
    <row r="660" spans="5:5">
      <c r="E660">
        <f>COUNTIF(Raw_Data!A:A,Raw_Data!A660)</f>
        <v>1</v>
      </c>
    </row>
    <row r="661" spans="5:5">
      <c r="E661">
        <f>COUNTIF(Raw_Data!A:A,Raw_Data!A661)</f>
        <v>1</v>
      </c>
    </row>
    <row r="662" spans="5:5">
      <c r="E662">
        <f>COUNTIF(Raw_Data!A:A,Raw_Data!A662)</f>
        <v>1</v>
      </c>
    </row>
    <row r="663" spans="5:5">
      <c r="E663">
        <f>COUNTIF(Raw_Data!A:A,Raw_Data!A663)</f>
        <v>1</v>
      </c>
    </row>
    <row r="664" spans="5:5">
      <c r="E664">
        <f>COUNTIF(Raw_Data!A:A,Raw_Data!A664)</f>
        <v>1</v>
      </c>
    </row>
    <row r="665" spans="5:5">
      <c r="E665">
        <f>COUNTIF(Raw_Data!A:A,Raw_Data!A665)</f>
        <v>1</v>
      </c>
    </row>
    <row r="666" spans="5:5">
      <c r="E666">
        <f>COUNTIF(Raw_Data!A:A,Raw_Data!A666)</f>
        <v>1</v>
      </c>
    </row>
    <row r="667" spans="5:5">
      <c r="E667">
        <f>COUNTIF(Raw_Data!A:A,Raw_Data!A667)</f>
        <v>1</v>
      </c>
    </row>
    <row r="668" spans="5:5">
      <c r="E668">
        <f>COUNTIF(Raw_Data!A:A,Raw_Data!A668)</f>
        <v>1</v>
      </c>
    </row>
    <row r="669" spans="5:5">
      <c r="E669">
        <f>COUNTIF(Raw_Data!A:A,Raw_Data!A669)</f>
        <v>1</v>
      </c>
    </row>
    <row r="670" spans="5:5">
      <c r="E670">
        <f>COUNTIF(Raw_Data!A:A,Raw_Data!A670)</f>
        <v>1</v>
      </c>
    </row>
    <row r="671" spans="5:5">
      <c r="E671">
        <f>COUNTIF(Raw_Data!A:A,Raw_Data!A671)</f>
        <v>1</v>
      </c>
    </row>
    <row r="672" spans="5:5">
      <c r="E672">
        <f>COUNTIF(Raw_Data!A:A,Raw_Data!A672)</f>
        <v>1</v>
      </c>
    </row>
    <row r="673" spans="5:5">
      <c r="E673">
        <f>COUNTIF(Raw_Data!A:A,Raw_Data!A673)</f>
        <v>1</v>
      </c>
    </row>
    <row r="674" spans="5:5">
      <c r="E674">
        <f>COUNTIF(Raw_Data!A:A,Raw_Data!A674)</f>
        <v>1</v>
      </c>
    </row>
    <row r="675" spans="5:5">
      <c r="E675">
        <f>COUNTIF(Raw_Data!A:A,Raw_Data!A675)</f>
        <v>1</v>
      </c>
    </row>
    <row r="676" spans="5:5">
      <c r="E676">
        <f>COUNTIF(Raw_Data!A:A,Raw_Data!A676)</f>
        <v>1</v>
      </c>
    </row>
    <row r="677" spans="5:5">
      <c r="E677">
        <f>COUNTIF(Raw_Data!A:A,Raw_Data!A677)</f>
        <v>1</v>
      </c>
    </row>
    <row r="678" spans="5:5">
      <c r="E678">
        <f>COUNTIF(Raw_Data!A:A,Raw_Data!A678)</f>
        <v>1</v>
      </c>
    </row>
    <row r="679" spans="5:5">
      <c r="E679">
        <f>COUNTIF(Raw_Data!A:A,Raw_Data!A679)</f>
        <v>1</v>
      </c>
    </row>
    <row r="680" spans="5:5">
      <c r="E680">
        <f>COUNTIF(Raw_Data!A:A,Raw_Data!A680)</f>
        <v>1</v>
      </c>
    </row>
    <row r="681" spans="5:5">
      <c r="E681">
        <f>COUNTIF(Raw_Data!A:A,Raw_Data!A681)</f>
        <v>1</v>
      </c>
    </row>
    <row r="682" spans="5:5">
      <c r="E682">
        <f>COUNTIF(Raw_Data!A:A,Raw_Data!A682)</f>
        <v>1</v>
      </c>
    </row>
    <row r="683" spans="5:5">
      <c r="E683">
        <f>COUNTIF(Raw_Data!A:A,Raw_Data!A683)</f>
        <v>1</v>
      </c>
    </row>
    <row r="684" spans="5:5">
      <c r="E684">
        <f>COUNTIF(Raw_Data!A:A,Raw_Data!A684)</f>
        <v>1</v>
      </c>
    </row>
    <row r="685" spans="5:5">
      <c r="E685">
        <f>COUNTIF(Raw_Data!A:A,Raw_Data!A685)</f>
        <v>1</v>
      </c>
    </row>
    <row r="686" spans="5:5">
      <c r="E686">
        <f>COUNTIF(Raw_Data!A:A,Raw_Data!A686)</f>
        <v>1</v>
      </c>
    </row>
    <row r="687" spans="5:5">
      <c r="E687">
        <f>COUNTIF(Raw_Data!A:A,Raw_Data!A687)</f>
        <v>1</v>
      </c>
    </row>
    <row r="688" spans="5:5">
      <c r="E688">
        <f>COUNTIF(Raw_Data!A:A,Raw_Data!A688)</f>
        <v>1</v>
      </c>
    </row>
    <row r="689" spans="5:5">
      <c r="E689">
        <f>COUNTIF(Raw_Data!A:A,Raw_Data!A689)</f>
        <v>1</v>
      </c>
    </row>
    <row r="690" spans="5:5">
      <c r="E690">
        <f>COUNTIF(Raw_Data!A:A,Raw_Data!A690)</f>
        <v>1</v>
      </c>
    </row>
    <row r="691" spans="5:5">
      <c r="E691">
        <f>COUNTIF(Raw_Data!A:A,Raw_Data!A691)</f>
        <v>1</v>
      </c>
    </row>
    <row r="692" spans="5:5">
      <c r="E692">
        <f>COUNTIF(Raw_Data!A:A,Raw_Data!A692)</f>
        <v>1</v>
      </c>
    </row>
    <row r="693" spans="5:5">
      <c r="E693">
        <f>COUNTIF(Raw_Data!A:A,Raw_Data!A693)</f>
        <v>1</v>
      </c>
    </row>
    <row r="694" spans="5:5">
      <c r="E694">
        <f>COUNTIF(Raw_Data!A:A,Raw_Data!A694)</f>
        <v>1</v>
      </c>
    </row>
    <row r="695" spans="5:5">
      <c r="E695">
        <f>COUNTIF(Raw_Data!A:A,Raw_Data!A695)</f>
        <v>1</v>
      </c>
    </row>
    <row r="696" spans="5:5">
      <c r="E696">
        <f>COUNTIF(Raw_Data!A:A,Raw_Data!A696)</f>
        <v>1</v>
      </c>
    </row>
    <row r="697" spans="5:5">
      <c r="E697">
        <f>COUNTIF(Raw_Data!A:A,Raw_Data!A697)</f>
        <v>1</v>
      </c>
    </row>
    <row r="698" spans="5:5">
      <c r="E698">
        <f>COUNTIF(Raw_Data!A:A,Raw_Data!A698)</f>
        <v>1</v>
      </c>
    </row>
    <row r="699" spans="5:5">
      <c r="E699">
        <f>COUNTIF(Raw_Data!A:A,Raw_Data!A699)</f>
        <v>1</v>
      </c>
    </row>
    <row r="700" spans="5:5">
      <c r="E700">
        <f>COUNTIF(Raw_Data!A:A,Raw_Data!A700)</f>
        <v>1</v>
      </c>
    </row>
    <row r="701" spans="5:5">
      <c r="E701">
        <f>COUNTIF(Raw_Data!A:A,Raw_Data!A701)</f>
        <v>1</v>
      </c>
    </row>
    <row r="702" spans="5:5">
      <c r="E702">
        <f>COUNTIF(Raw_Data!A:A,Raw_Data!A702)</f>
        <v>1</v>
      </c>
    </row>
    <row r="703" spans="5:5">
      <c r="E703">
        <f>COUNTIF(Raw_Data!A:A,Raw_Data!A703)</f>
        <v>1</v>
      </c>
    </row>
    <row r="704" spans="5:5">
      <c r="E704">
        <f>COUNTIF(Raw_Data!A:A,Raw_Data!A704)</f>
        <v>1</v>
      </c>
    </row>
    <row r="705" spans="5:5">
      <c r="E705">
        <f>COUNTIF(Raw_Data!A:A,Raw_Data!A705)</f>
        <v>1</v>
      </c>
    </row>
    <row r="706" spans="5:5">
      <c r="E706">
        <f>COUNTIF(Raw_Data!A:A,Raw_Data!A706)</f>
        <v>1</v>
      </c>
    </row>
    <row r="707" spans="5:5">
      <c r="E707">
        <f>COUNTIF(Raw_Data!A:A,Raw_Data!A707)</f>
        <v>1</v>
      </c>
    </row>
    <row r="708" spans="5:5">
      <c r="E708">
        <f>COUNTIF(Raw_Data!A:A,Raw_Data!A708)</f>
        <v>1</v>
      </c>
    </row>
    <row r="709" spans="5:5">
      <c r="E709">
        <f>COUNTIF(Raw_Data!A:A,Raw_Data!A709)</f>
        <v>1</v>
      </c>
    </row>
    <row r="710" spans="5:5">
      <c r="E710">
        <f>COUNTIF(Raw_Data!A:A,Raw_Data!A710)</f>
        <v>1</v>
      </c>
    </row>
    <row r="711" spans="5:5">
      <c r="E711">
        <f>COUNTIF(Raw_Data!A:A,Raw_Data!A711)</f>
        <v>1</v>
      </c>
    </row>
    <row r="712" spans="5:5">
      <c r="E712">
        <f>COUNTIF(Raw_Data!A:A,Raw_Data!A712)</f>
        <v>1</v>
      </c>
    </row>
    <row r="713" spans="5:5">
      <c r="E713">
        <f>COUNTIF(Raw_Data!A:A,Raw_Data!A713)</f>
        <v>1</v>
      </c>
    </row>
    <row r="714" spans="5:5">
      <c r="E714">
        <f>COUNTIF(Raw_Data!A:A,Raw_Data!A714)</f>
        <v>1</v>
      </c>
    </row>
    <row r="715" spans="5:5">
      <c r="E715">
        <f>COUNTIF(Raw_Data!A:A,Raw_Data!A715)</f>
        <v>1</v>
      </c>
    </row>
    <row r="716" spans="5:5">
      <c r="E716">
        <f>COUNTIF(Raw_Data!A:A,Raw_Data!A716)</f>
        <v>1</v>
      </c>
    </row>
    <row r="717" spans="5:5">
      <c r="E717">
        <f>COUNTIF(Raw_Data!A:A,Raw_Data!A717)</f>
        <v>1</v>
      </c>
    </row>
    <row r="718" spans="5:5">
      <c r="E718">
        <f>COUNTIF(Raw_Data!A:A,Raw_Data!A718)</f>
        <v>1</v>
      </c>
    </row>
    <row r="719" spans="5:5">
      <c r="E719">
        <f>COUNTIF(Raw_Data!A:A,Raw_Data!A719)</f>
        <v>1</v>
      </c>
    </row>
    <row r="720" spans="5:5">
      <c r="E720">
        <f>COUNTIF(Raw_Data!A:A,Raw_Data!A720)</f>
        <v>1</v>
      </c>
    </row>
    <row r="721" spans="5:5">
      <c r="E721">
        <f>COUNTIF(Raw_Data!A:A,Raw_Data!A721)</f>
        <v>1</v>
      </c>
    </row>
    <row r="722" spans="5:5">
      <c r="E722">
        <f>COUNTIF(Raw_Data!A:A,Raw_Data!A722)</f>
        <v>1</v>
      </c>
    </row>
    <row r="723" spans="5:5">
      <c r="E723">
        <f>COUNTIF(Raw_Data!A:A,Raw_Data!A723)</f>
        <v>1</v>
      </c>
    </row>
    <row r="724" spans="5:5">
      <c r="E724">
        <f>COUNTIF(Raw_Data!A:A,Raw_Data!A724)</f>
        <v>1</v>
      </c>
    </row>
    <row r="725" spans="5:5">
      <c r="E725">
        <f>COUNTIF(Raw_Data!A:A,Raw_Data!A725)</f>
        <v>1</v>
      </c>
    </row>
    <row r="726" spans="5:5">
      <c r="E726">
        <f>COUNTIF(Raw_Data!A:A,Raw_Data!A726)</f>
        <v>1</v>
      </c>
    </row>
    <row r="727" spans="5:5">
      <c r="E727">
        <f>COUNTIF(Raw_Data!A:A,Raw_Data!A727)</f>
        <v>1</v>
      </c>
    </row>
    <row r="728" spans="5:5">
      <c r="E728">
        <f>COUNTIF(Raw_Data!A:A,Raw_Data!A728)</f>
        <v>1</v>
      </c>
    </row>
    <row r="729" spans="5:5">
      <c r="E729">
        <f>COUNTIF(Raw_Data!A:A,Raw_Data!A729)</f>
        <v>1</v>
      </c>
    </row>
    <row r="730" spans="5:5">
      <c r="E730">
        <f>COUNTIF(Raw_Data!A:A,Raw_Data!A730)</f>
        <v>1</v>
      </c>
    </row>
    <row r="731" spans="5:5">
      <c r="E731">
        <f>COUNTIF(Raw_Data!A:A,Raw_Data!A731)</f>
        <v>1</v>
      </c>
    </row>
    <row r="732" spans="5:5">
      <c r="E732">
        <f>COUNTIF(Raw_Data!A:A,Raw_Data!A732)</f>
        <v>1</v>
      </c>
    </row>
    <row r="733" spans="5:5">
      <c r="E733">
        <f>COUNTIF(Raw_Data!A:A,Raw_Data!A733)</f>
        <v>1</v>
      </c>
    </row>
    <row r="734" spans="5:5">
      <c r="E734">
        <f>COUNTIF(Raw_Data!A:A,Raw_Data!A734)</f>
        <v>1</v>
      </c>
    </row>
    <row r="735" spans="5:5">
      <c r="E735">
        <f>COUNTIF(Raw_Data!A:A,Raw_Data!A735)</f>
        <v>1</v>
      </c>
    </row>
    <row r="736" spans="5:5">
      <c r="E736">
        <f>COUNTIF(Raw_Data!A:A,Raw_Data!A736)</f>
        <v>1</v>
      </c>
    </row>
    <row r="737" spans="5:5">
      <c r="E737">
        <f>COUNTIF(Raw_Data!A:A,Raw_Data!A737)</f>
        <v>1</v>
      </c>
    </row>
    <row r="738" spans="5:5">
      <c r="E738">
        <f>COUNTIF(Raw_Data!A:A,Raw_Data!A738)</f>
        <v>1</v>
      </c>
    </row>
    <row r="739" spans="5:5">
      <c r="E739">
        <f>COUNTIF(Raw_Data!A:A,Raw_Data!A739)</f>
        <v>1</v>
      </c>
    </row>
    <row r="740" spans="5:5">
      <c r="E740">
        <f>COUNTIF(Raw_Data!A:A,Raw_Data!A740)</f>
        <v>1</v>
      </c>
    </row>
    <row r="741" spans="5:5">
      <c r="E741">
        <f>COUNTIF(Raw_Data!A:A,Raw_Data!A741)</f>
        <v>1</v>
      </c>
    </row>
    <row r="742" spans="5:5">
      <c r="E742">
        <f>COUNTIF(Raw_Data!A:A,Raw_Data!A742)</f>
        <v>1</v>
      </c>
    </row>
    <row r="743" spans="5:5">
      <c r="E743">
        <f>COUNTIF(Raw_Data!A:A,Raw_Data!A743)</f>
        <v>1</v>
      </c>
    </row>
    <row r="744" spans="5:5">
      <c r="E744">
        <f>COUNTIF(Raw_Data!A:A,Raw_Data!A744)</f>
        <v>1</v>
      </c>
    </row>
    <row r="745" spans="5:5">
      <c r="E745">
        <f>COUNTIF(Raw_Data!A:A,Raw_Data!A745)</f>
        <v>1</v>
      </c>
    </row>
    <row r="746" spans="5:5">
      <c r="E746">
        <f>COUNTIF(Raw_Data!A:A,Raw_Data!A746)</f>
        <v>1</v>
      </c>
    </row>
    <row r="747" spans="5:5">
      <c r="E747">
        <f>COUNTIF(Raw_Data!A:A,Raw_Data!A747)</f>
        <v>1</v>
      </c>
    </row>
    <row r="748" spans="5:5">
      <c r="E748">
        <f>COUNTIF(Raw_Data!A:A,Raw_Data!A748)</f>
        <v>1</v>
      </c>
    </row>
    <row r="749" spans="5:5">
      <c r="E749">
        <f>COUNTIF(Raw_Data!A:A,Raw_Data!A749)</f>
        <v>1</v>
      </c>
    </row>
    <row r="750" spans="5:5">
      <c r="E750">
        <f>COUNTIF(Raw_Data!A:A,Raw_Data!A750)</f>
        <v>1</v>
      </c>
    </row>
    <row r="751" spans="5:5">
      <c r="E751">
        <f>COUNTIF(Raw_Data!A:A,Raw_Data!A751)</f>
        <v>1</v>
      </c>
    </row>
    <row r="752" spans="5:5">
      <c r="E752">
        <f>COUNTIF(Raw_Data!A:A,Raw_Data!A752)</f>
        <v>1</v>
      </c>
    </row>
    <row r="753" spans="5:5">
      <c r="E753">
        <f>COUNTIF(Raw_Data!A:A,Raw_Data!A753)</f>
        <v>1</v>
      </c>
    </row>
    <row r="754" spans="5:5">
      <c r="E754">
        <f>COUNTIF(Raw_Data!A:A,Raw_Data!A754)</f>
        <v>1</v>
      </c>
    </row>
    <row r="755" spans="5:5">
      <c r="E755">
        <f>COUNTIF(Raw_Data!A:A,Raw_Data!A755)</f>
        <v>1</v>
      </c>
    </row>
    <row r="756" spans="5:5">
      <c r="E756">
        <f>COUNTIF(Raw_Data!A:A,Raw_Data!A756)</f>
        <v>1</v>
      </c>
    </row>
    <row r="757" spans="5:5">
      <c r="E757">
        <f>COUNTIF(Raw_Data!A:A,Raw_Data!A757)</f>
        <v>1</v>
      </c>
    </row>
    <row r="758" spans="5:5">
      <c r="E758">
        <f>COUNTIF(Raw_Data!A:A,Raw_Data!A758)</f>
        <v>1</v>
      </c>
    </row>
    <row r="759" spans="5:5">
      <c r="E759">
        <f>COUNTIF(Raw_Data!A:A,Raw_Data!A759)</f>
        <v>1</v>
      </c>
    </row>
    <row r="760" spans="5:5">
      <c r="E760">
        <f>COUNTIF(Raw_Data!A:A,Raw_Data!A760)</f>
        <v>1</v>
      </c>
    </row>
    <row r="761" spans="5:5">
      <c r="E761">
        <f>COUNTIF(Raw_Data!A:A,Raw_Data!A761)</f>
        <v>1</v>
      </c>
    </row>
    <row r="762" spans="5:5">
      <c r="E762">
        <f>COUNTIF(Raw_Data!A:A,Raw_Data!A762)</f>
        <v>1</v>
      </c>
    </row>
    <row r="763" spans="5:5">
      <c r="E763">
        <f>COUNTIF(Raw_Data!A:A,Raw_Data!A763)</f>
        <v>1</v>
      </c>
    </row>
    <row r="764" spans="5:5">
      <c r="E764">
        <f>COUNTIF(Raw_Data!A:A,Raw_Data!A764)</f>
        <v>1</v>
      </c>
    </row>
    <row r="765" spans="5:5">
      <c r="E765">
        <f>COUNTIF(Raw_Data!A:A,Raw_Data!A765)</f>
        <v>1</v>
      </c>
    </row>
    <row r="766" spans="5:5">
      <c r="E766">
        <f>COUNTIF(Raw_Data!A:A,Raw_Data!A766)</f>
        <v>1</v>
      </c>
    </row>
    <row r="767" spans="5:5">
      <c r="E767">
        <f>COUNTIF(Raw_Data!A:A,Raw_Data!A767)</f>
        <v>1</v>
      </c>
    </row>
    <row r="768" spans="5:5">
      <c r="E768">
        <f>COUNTIF(Raw_Data!A:A,Raw_Data!A768)</f>
        <v>1</v>
      </c>
    </row>
    <row r="769" spans="5:5">
      <c r="E769">
        <f>COUNTIF(Raw_Data!A:A,Raw_Data!A769)</f>
        <v>1</v>
      </c>
    </row>
    <row r="770" spans="5:5">
      <c r="E770">
        <f>COUNTIF(Raw_Data!A:A,Raw_Data!A770)</f>
        <v>1</v>
      </c>
    </row>
    <row r="771" spans="5:5">
      <c r="E771">
        <f>COUNTIF(Raw_Data!A:A,Raw_Data!A771)</f>
        <v>1</v>
      </c>
    </row>
    <row r="772" spans="5:5">
      <c r="E772">
        <f>COUNTIF(Raw_Data!A:A,Raw_Data!A772)</f>
        <v>1</v>
      </c>
    </row>
    <row r="773" spans="5:5">
      <c r="E773">
        <f>COUNTIF(Raw_Data!A:A,Raw_Data!A773)</f>
        <v>1</v>
      </c>
    </row>
    <row r="774" spans="5:5">
      <c r="E774">
        <f>COUNTIF(Raw_Data!A:A,Raw_Data!A774)</f>
        <v>1</v>
      </c>
    </row>
    <row r="775" spans="5:5">
      <c r="E775">
        <f>COUNTIF(Raw_Data!A:A,Raw_Data!A775)</f>
        <v>1</v>
      </c>
    </row>
    <row r="776" spans="5:5">
      <c r="E776">
        <f>COUNTIF(Raw_Data!A:A,Raw_Data!A776)</f>
        <v>1</v>
      </c>
    </row>
    <row r="777" spans="5:5">
      <c r="E777">
        <f>COUNTIF(Raw_Data!A:A,Raw_Data!A777)</f>
        <v>1</v>
      </c>
    </row>
    <row r="778" spans="5:5">
      <c r="E778">
        <f>COUNTIF(Raw_Data!A:A,Raw_Data!A778)</f>
        <v>1</v>
      </c>
    </row>
    <row r="779" spans="5:5">
      <c r="E779">
        <f>COUNTIF(Raw_Data!A:A,Raw_Data!A779)</f>
        <v>1</v>
      </c>
    </row>
    <row r="780" spans="5:5">
      <c r="E780">
        <f>COUNTIF(Raw_Data!A:A,Raw_Data!A780)</f>
        <v>1</v>
      </c>
    </row>
    <row r="781" spans="5:5">
      <c r="E781">
        <f>COUNTIF(Raw_Data!A:A,Raw_Data!A781)</f>
        <v>1</v>
      </c>
    </row>
    <row r="782" spans="5:5">
      <c r="E782">
        <f>COUNTIF(Raw_Data!A:A,Raw_Data!A782)</f>
        <v>1</v>
      </c>
    </row>
    <row r="783" spans="5:5">
      <c r="E783">
        <f>COUNTIF(Raw_Data!A:A,Raw_Data!A783)</f>
        <v>1</v>
      </c>
    </row>
    <row r="784" spans="5:5">
      <c r="E784">
        <f>COUNTIF(Raw_Data!A:A,Raw_Data!A784)</f>
        <v>1</v>
      </c>
    </row>
    <row r="785" spans="5:5">
      <c r="E785">
        <f>COUNTIF(Raw_Data!A:A,Raw_Data!A785)</f>
        <v>1</v>
      </c>
    </row>
    <row r="786" spans="5:5">
      <c r="E786">
        <f>COUNTIF(Raw_Data!A:A,Raw_Data!A786)</f>
        <v>1</v>
      </c>
    </row>
    <row r="787" spans="5:5">
      <c r="E787">
        <f>COUNTIF(Raw_Data!A:A,Raw_Data!A787)</f>
        <v>1</v>
      </c>
    </row>
    <row r="788" spans="5:5">
      <c r="E788">
        <f>COUNTIF(Raw_Data!A:A,Raw_Data!A788)</f>
        <v>1</v>
      </c>
    </row>
    <row r="789" spans="5:5">
      <c r="E789">
        <f>COUNTIF(Raw_Data!A:A,Raw_Data!A789)</f>
        <v>1</v>
      </c>
    </row>
    <row r="790" spans="5:5">
      <c r="E790">
        <f>COUNTIF(Raw_Data!A:A,Raw_Data!A790)</f>
        <v>1</v>
      </c>
    </row>
    <row r="791" spans="5:5">
      <c r="E791">
        <f>COUNTIF(Raw_Data!A:A,Raw_Data!A791)</f>
        <v>1</v>
      </c>
    </row>
    <row r="792" spans="5:5">
      <c r="E792">
        <f>COUNTIF(Raw_Data!A:A,Raw_Data!A792)</f>
        <v>1</v>
      </c>
    </row>
    <row r="793" spans="5:5">
      <c r="E793">
        <f>COUNTIF(Raw_Data!A:A,Raw_Data!A793)</f>
        <v>1</v>
      </c>
    </row>
    <row r="794" spans="5:5">
      <c r="E794">
        <f>COUNTIF(Raw_Data!A:A,Raw_Data!A794)</f>
        <v>1</v>
      </c>
    </row>
    <row r="795" spans="5:5">
      <c r="E795">
        <f>COUNTIF(Raw_Data!A:A,Raw_Data!A795)</f>
        <v>1</v>
      </c>
    </row>
    <row r="796" spans="5:5">
      <c r="E796">
        <f>COUNTIF(Raw_Data!A:A,Raw_Data!A796)</f>
        <v>1</v>
      </c>
    </row>
    <row r="797" spans="5:5">
      <c r="E797">
        <f>COUNTIF(Raw_Data!A:A,Raw_Data!A797)</f>
        <v>1</v>
      </c>
    </row>
    <row r="798" spans="5:5">
      <c r="E798">
        <f>COUNTIF(Raw_Data!A:A,Raw_Data!A798)</f>
        <v>1</v>
      </c>
    </row>
    <row r="799" spans="5:5">
      <c r="E799">
        <f>COUNTIF(Raw_Data!A:A,Raw_Data!A799)</f>
        <v>1</v>
      </c>
    </row>
    <row r="800" spans="5:5">
      <c r="E800">
        <f>COUNTIF(Raw_Data!A:A,Raw_Data!A800)</f>
        <v>1</v>
      </c>
    </row>
    <row r="801" spans="5:5">
      <c r="E801">
        <f>COUNTIF(Raw_Data!A:A,Raw_Data!A801)</f>
        <v>1</v>
      </c>
    </row>
    <row r="802" spans="5:5">
      <c r="E802">
        <f>COUNTIF(Raw_Data!A:A,Raw_Data!A802)</f>
        <v>1</v>
      </c>
    </row>
    <row r="803" spans="5:5">
      <c r="E803">
        <f>COUNTIF(Raw_Data!A:A,Raw_Data!A803)</f>
        <v>1</v>
      </c>
    </row>
    <row r="804" spans="5:5">
      <c r="E804">
        <f>COUNTIF(Raw_Data!A:A,Raw_Data!A804)</f>
        <v>1</v>
      </c>
    </row>
    <row r="805" spans="5:5">
      <c r="E805">
        <f>COUNTIF(Raw_Data!A:A,Raw_Data!A805)</f>
        <v>1</v>
      </c>
    </row>
    <row r="806" spans="5:5">
      <c r="E806">
        <f>COUNTIF(Raw_Data!A:A,Raw_Data!A806)</f>
        <v>1</v>
      </c>
    </row>
    <row r="807" spans="5:5">
      <c r="E807">
        <f>COUNTIF(Raw_Data!A:A,Raw_Data!A807)</f>
        <v>1</v>
      </c>
    </row>
    <row r="808" spans="5:5">
      <c r="E808">
        <f>COUNTIF(Raw_Data!A:A,Raw_Data!A808)</f>
        <v>1</v>
      </c>
    </row>
    <row r="809" spans="5:5">
      <c r="E809">
        <f>COUNTIF(Raw_Data!A:A,Raw_Data!A809)</f>
        <v>1</v>
      </c>
    </row>
    <row r="810" spans="5:5">
      <c r="E810">
        <f>COUNTIF(Raw_Data!A:A,Raw_Data!A810)</f>
        <v>1</v>
      </c>
    </row>
    <row r="811" spans="5:5">
      <c r="E811">
        <f>COUNTIF(Raw_Data!A:A,Raw_Data!A811)</f>
        <v>1</v>
      </c>
    </row>
    <row r="812" spans="5:5">
      <c r="E812">
        <f>COUNTIF(Raw_Data!A:A,Raw_Data!A812)</f>
        <v>1</v>
      </c>
    </row>
    <row r="813" spans="5:5">
      <c r="E813">
        <f>COUNTIF(Raw_Data!A:A,Raw_Data!A813)</f>
        <v>1</v>
      </c>
    </row>
    <row r="814" spans="5:5">
      <c r="E814">
        <f>COUNTIF(Raw_Data!A:A,Raw_Data!A814)</f>
        <v>1</v>
      </c>
    </row>
    <row r="815" spans="5:5">
      <c r="E815">
        <f>COUNTIF(Raw_Data!A:A,Raw_Data!A815)</f>
        <v>1</v>
      </c>
    </row>
    <row r="816" spans="5:5">
      <c r="E816">
        <f>COUNTIF(Raw_Data!A:A,Raw_Data!A816)</f>
        <v>1</v>
      </c>
    </row>
    <row r="817" spans="5:5">
      <c r="E817">
        <f>COUNTIF(Raw_Data!A:A,Raw_Data!A817)</f>
        <v>1</v>
      </c>
    </row>
    <row r="818" spans="5:5">
      <c r="E818">
        <f>COUNTIF(Raw_Data!A:A,Raw_Data!A818)</f>
        <v>1</v>
      </c>
    </row>
    <row r="819" spans="5:5">
      <c r="E819">
        <f>COUNTIF(Raw_Data!A:A,Raw_Data!A819)</f>
        <v>1</v>
      </c>
    </row>
    <row r="820" spans="5:5">
      <c r="E820">
        <f>COUNTIF(Raw_Data!A:A,Raw_Data!A820)</f>
        <v>1</v>
      </c>
    </row>
    <row r="821" spans="5:5">
      <c r="E821">
        <f>COUNTIF(Raw_Data!A:A,Raw_Data!A821)</f>
        <v>1</v>
      </c>
    </row>
    <row r="822" spans="5:5">
      <c r="E822">
        <f>COUNTIF(Raw_Data!A:A,Raw_Data!A822)</f>
        <v>1</v>
      </c>
    </row>
    <row r="823" spans="5:5">
      <c r="E823">
        <f>COUNTIF(Raw_Data!A:A,Raw_Data!A823)</f>
        <v>1</v>
      </c>
    </row>
    <row r="824" spans="5:5">
      <c r="E824">
        <f>COUNTIF(Raw_Data!A:A,Raw_Data!A824)</f>
        <v>1</v>
      </c>
    </row>
    <row r="825" spans="5:5">
      <c r="E825">
        <f>COUNTIF(Raw_Data!A:A,Raw_Data!A825)</f>
        <v>1</v>
      </c>
    </row>
    <row r="826" spans="5:5">
      <c r="E826">
        <f>COUNTIF(Raw_Data!A:A,Raw_Data!A826)</f>
        <v>1</v>
      </c>
    </row>
    <row r="827" spans="5:5">
      <c r="E827">
        <f>COUNTIF(Raw_Data!A:A,Raw_Data!A827)</f>
        <v>1</v>
      </c>
    </row>
    <row r="828" spans="5:5">
      <c r="E828">
        <f>COUNTIF(Raw_Data!A:A,Raw_Data!A828)</f>
        <v>1</v>
      </c>
    </row>
    <row r="829" spans="5:5">
      <c r="E829">
        <f>COUNTIF(Raw_Data!A:A,Raw_Data!A829)</f>
        <v>1</v>
      </c>
    </row>
    <row r="830" spans="5:5">
      <c r="E830">
        <f>COUNTIF(Raw_Data!A:A,Raw_Data!A830)</f>
        <v>1</v>
      </c>
    </row>
    <row r="831" spans="5:5">
      <c r="E831">
        <f>COUNTIF(Raw_Data!A:A,Raw_Data!A831)</f>
        <v>1</v>
      </c>
    </row>
    <row r="832" spans="5:5">
      <c r="E832">
        <f>COUNTIF(Raw_Data!A:A,Raw_Data!A832)</f>
        <v>1</v>
      </c>
    </row>
    <row r="833" spans="5:5">
      <c r="E833">
        <f>COUNTIF(Raw_Data!A:A,Raw_Data!A833)</f>
        <v>1</v>
      </c>
    </row>
    <row r="834" spans="5:5">
      <c r="E834">
        <f>COUNTIF(Raw_Data!A:A,Raw_Data!A834)</f>
        <v>1</v>
      </c>
    </row>
    <row r="835" spans="5:5">
      <c r="E835">
        <f>COUNTIF(Raw_Data!A:A,Raw_Data!A835)</f>
        <v>1</v>
      </c>
    </row>
    <row r="836" spans="5:5">
      <c r="E836">
        <f>COUNTIF(Raw_Data!A:A,Raw_Data!A836)</f>
        <v>1</v>
      </c>
    </row>
    <row r="837" spans="5:5">
      <c r="E837">
        <f>COUNTIF(Raw_Data!A:A,Raw_Data!A837)</f>
        <v>1</v>
      </c>
    </row>
    <row r="838" spans="5:5">
      <c r="E838">
        <f>COUNTIF(Raw_Data!A:A,Raw_Data!A838)</f>
        <v>1</v>
      </c>
    </row>
    <row r="839" spans="5:5">
      <c r="E839">
        <f>COUNTIF(Raw_Data!A:A,Raw_Data!A839)</f>
        <v>1</v>
      </c>
    </row>
    <row r="840" spans="5:5">
      <c r="E840">
        <f>COUNTIF(Raw_Data!A:A,Raw_Data!A840)</f>
        <v>1</v>
      </c>
    </row>
    <row r="841" spans="5:5">
      <c r="E841">
        <f>COUNTIF(Raw_Data!A:A,Raw_Data!A841)</f>
        <v>1</v>
      </c>
    </row>
    <row r="842" spans="5:5">
      <c r="E842">
        <f>COUNTIF(Raw_Data!A:A,Raw_Data!A842)</f>
        <v>1</v>
      </c>
    </row>
    <row r="843" spans="5:5">
      <c r="E843">
        <f>COUNTIF(Raw_Data!A:A,Raw_Data!A843)</f>
        <v>1</v>
      </c>
    </row>
    <row r="844" spans="5:5">
      <c r="E844">
        <f>COUNTIF(Raw_Data!A:A,Raw_Data!A844)</f>
        <v>1</v>
      </c>
    </row>
    <row r="845" spans="5:5">
      <c r="E845">
        <f>COUNTIF(Raw_Data!A:A,Raw_Data!A845)</f>
        <v>1</v>
      </c>
    </row>
    <row r="846" spans="5:5">
      <c r="E846">
        <f>COUNTIF(Raw_Data!A:A,Raw_Data!A846)</f>
        <v>1</v>
      </c>
    </row>
    <row r="847" spans="5:5">
      <c r="E847">
        <f>COUNTIF(Raw_Data!A:A,Raw_Data!A847)</f>
        <v>1</v>
      </c>
    </row>
    <row r="848" spans="5:5">
      <c r="E848">
        <f>COUNTIF(Raw_Data!A:A,Raw_Data!A848)</f>
        <v>1</v>
      </c>
    </row>
    <row r="849" spans="5:5">
      <c r="E849">
        <f>COUNTIF(Raw_Data!A:A,Raw_Data!A849)</f>
        <v>1</v>
      </c>
    </row>
    <row r="850" spans="5:5">
      <c r="E850">
        <f>COUNTIF(Raw_Data!A:A,Raw_Data!A850)</f>
        <v>1</v>
      </c>
    </row>
    <row r="851" spans="5:5">
      <c r="E851">
        <f>COUNTIF(Raw_Data!A:A,Raw_Data!A851)</f>
        <v>1</v>
      </c>
    </row>
    <row r="852" spans="5:5">
      <c r="E852">
        <f>COUNTIF(Raw_Data!A:A,Raw_Data!A852)</f>
        <v>1</v>
      </c>
    </row>
    <row r="853" spans="5:5">
      <c r="E853">
        <f>COUNTIF(Raw_Data!A:A,Raw_Data!A853)</f>
        <v>1</v>
      </c>
    </row>
    <row r="854" spans="5:5">
      <c r="E854">
        <f>COUNTIF(Raw_Data!A:A,Raw_Data!A854)</f>
        <v>1</v>
      </c>
    </row>
    <row r="855" spans="5:5">
      <c r="E855">
        <f>COUNTIF(Raw_Data!A:A,Raw_Data!A855)</f>
        <v>1</v>
      </c>
    </row>
    <row r="856" spans="5:5">
      <c r="E856">
        <f>COUNTIF(Raw_Data!A:A,Raw_Data!A856)</f>
        <v>1</v>
      </c>
    </row>
    <row r="857" spans="5:5">
      <c r="E857">
        <f>COUNTIF(Raw_Data!A:A,Raw_Data!A857)</f>
        <v>1</v>
      </c>
    </row>
    <row r="858" spans="5:5">
      <c r="E858">
        <f>COUNTIF(Raw_Data!A:A,Raw_Data!A858)</f>
        <v>1</v>
      </c>
    </row>
    <row r="859" spans="5:5">
      <c r="E859">
        <f>COUNTIF(Raw_Data!A:A,Raw_Data!A859)</f>
        <v>1</v>
      </c>
    </row>
    <row r="860" spans="5:5">
      <c r="E860">
        <f>COUNTIF(Raw_Data!A:A,Raw_Data!A860)</f>
        <v>1</v>
      </c>
    </row>
    <row r="861" spans="5:5">
      <c r="E861">
        <f>COUNTIF(Raw_Data!A:A,Raw_Data!A861)</f>
        <v>1</v>
      </c>
    </row>
    <row r="862" spans="5:5">
      <c r="E862">
        <f>COUNTIF(Raw_Data!A:A,Raw_Data!A862)</f>
        <v>1</v>
      </c>
    </row>
    <row r="863" spans="5:5">
      <c r="E863">
        <f>COUNTIF(Raw_Data!A:A,Raw_Data!A863)</f>
        <v>1</v>
      </c>
    </row>
    <row r="864" spans="5:5">
      <c r="E864">
        <f>COUNTIF(Raw_Data!A:A,Raw_Data!A864)</f>
        <v>1</v>
      </c>
    </row>
    <row r="865" spans="5:5">
      <c r="E865">
        <f>COUNTIF(Raw_Data!A:A,Raw_Data!A865)</f>
        <v>1</v>
      </c>
    </row>
    <row r="866" spans="5:5">
      <c r="E866">
        <f>COUNTIF(Raw_Data!A:A,Raw_Data!A866)</f>
        <v>1</v>
      </c>
    </row>
    <row r="867" spans="5:5">
      <c r="E867">
        <f>COUNTIF(Raw_Data!A:A,Raw_Data!A867)</f>
        <v>1</v>
      </c>
    </row>
    <row r="868" spans="5:5">
      <c r="E868">
        <f>COUNTIF(Raw_Data!A:A,Raw_Data!A868)</f>
        <v>1</v>
      </c>
    </row>
    <row r="869" spans="5:5">
      <c r="E869">
        <f>COUNTIF(Raw_Data!A:A,Raw_Data!A869)</f>
        <v>1</v>
      </c>
    </row>
    <row r="870" spans="5:5">
      <c r="E870">
        <f>COUNTIF(Raw_Data!A:A,Raw_Data!A870)</f>
        <v>1</v>
      </c>
    </row>
    <row r="871" spans="5:5">
      <c r="E871">
        <f>COUNTIF(Raw_Data!A:A,Raw_Data!A871)</f>
        <v>1</v>
      </c>
    </row>
    <row r="872" spans="5:5">
      <c r="E872">
        <f>COUNTIF(Raw_Data!A:A,Raw_Data!A872)</f>
        <v>1</v>
      </c>
    </row>
    <row r="873" spans="5:5">
      <c r="E873">
        <f>COUNTIF(Raw_Data!A:A,Raw_Data!A873)</f>
        <v>1</v>
      </c>
    </row>
    <row r="874" spans="5:5">
      <c r="E874">
        <f>COUNTIF(Raw_Data!A:A,Raw_Data!A874)</f>
        <v>1</v>
      </c>
    </row>
    <row r="875" spans="5:5">
      <c r="E875">
        <f>COUNTIF(Raw_Data!A:A,Raw_Data!A875)</f>
        <v>1</v>
      </c>
    </row>
    <row r="876" spans="5:5">
      <c r="E876">
        <f>COUNTIF(Raw_Data!A:A,Raw_Data!A876)</f>
        <v>1</v>
      </c>
    </row>
    <row r="877" spans="5:5">
      <c r="E877">
        <f>COUNTIF(Raw_Data!A:A,Raw_Data!A877)</f>
        <v>1</v>
      </c>
    </row>
    <row r="878" spans="5:5">
      <c r="E878">
        <f>COUNTIF(Raw_Data!A:A,Raw_Data!A878)</f>
        <v>1</v>
      </c>
    </row>
    <row r="879" spans="5:5">
      <c r="E879">
        <f>COUNTIF(Raw_Data!A:A,Raw_Data!A879)</f>
        <v>1</v>
      </c>
    </row>
    <row r="880" spans="5:5">
      <c r="E880">
        <f>COUNTIF(Raw_Data!A:A,Raw_Data!A880)</f>
        <v>1</v>
      </c>
    </row>
    <row r="881" spans="5:5">
      <c r="E881">
        <f>COUNTIF(Raw_Data!A:A,Raw_Data!A881)</f>
        <v>1</v>
      </c>
    </row>
    <row r="882" spans="5:5">
      <c r="E882">
        <f>COUNTIF(Raw_Data!A:A,Raw_Data!A882)</f>
        <v>1</v>
      </c>
    </row>
    <row r="883" spans="5:5">
      <c r="E883">
        <f>COUNTIF(Raw_Data!A:A,Raw_Data!A883)</f>
        <v>1</v>
      </c>
    </row>
    <row r="884" spans="5:5">
      <c r="E884">
        <f>COUNTIF(Raw_Data!A:A,Raw_Data!A884)</f>
        <v>1</v>
      </c>
    </row>
    <row r="885" spans="5:5">
      <c r="E885">
        <f>COUNTIF(Raw_Data!A:A,Raw_Data!A885)</f>
        <v>1</v>
      </c>
    </row>
    <row r="886" spans="5:5">
      <c r="E886">
        <f>COUNTIF(Raw_Data!A:A,Raw_Data!A886)</f>
        <v>1</v>
      </c>
    </row>
    <row r="887" spans="5:5">
      <c r="E887">
        <f>COUNTIF(Raw_Data!A:A,Raw_Data!A887)</f>
        <v>1</v>
      </c>
    </row>
    <row r="888" spans="5:5">
      <c r="E888">
        <f>COUNTIF(Raw_Data!A:A,Raw_Data!A888)</f>
        <v>1</v>
      </c>
    </row>
    <row r="889" spans="5:5">
      <c r="E889">
        <f>COUNTIF(Raw_Data!A:A,Raw_Data!A889)</f>
        <v>1</v>
      </c>
    </row>
    <row r="890" spans="5:5">
      <c r="E890">
        <f>COUNTIF(Raw_Data!A:A,Raw_Data!A890)</f>
        <v>1</v>
      </c>
    </row>
    <row r="891" spans="5:5">
      <c r="E891">
        <f>COUNTIF(Raw_Data!A:A,Raw_Data!A891)</f>
        <v>1</v>
      </c>
    </row>
    <row r="892" spans="5:5">
      <c r="E892">
        <f>COUNTIF(Raw_Data!A:A,Raw_Data!A892)</f>
        <v>1</v>
      </c>
    </row>
    <row r="893" spans="5:5">
      <c r="E893">
        <f>COUNTIF(Raw_Data!A:A,Raw_Data!A893)</f>
        <v>1</v>
      </c>
    </row>
    <row r="894" spans="5:5">
      <c r="E894">
        <f>COUNTIF(Raw_Data!A:A,Raw_Data!A894)</f>
        <v>1</v>
      </c>
    </row>
    <row r="895" spans="5:5">
      <c r="E895">
        <f>COUNTIF(Raw_Data!A:A,Raw_Data!A895)</f>
        <v>1</v>
      </c>
    </row>
    <row r="896" spans="5:5">
      <c r="E896">
        <f>COUNTIF(Raw_Data!A:A,Raw_Data!A896)</f>
        <v>1</v>
      </c>
    </row>
    <row r="897" spans="5:5">
      <c r="E897">
        <f>COUNTIF(Raw_Data!A:A,Raw_Data!A897)</f>
        <v>1</v>
      </c>
    </row>
    <row r="898" spans="5:5">
      <c r="E898">
        <f>COUNTIF(Raw_Data!A:A,Raw_Data!A898)</f>
        <v>1</v>
      </c>
    </row>
    <row r="899" spans="5:5">
      <c r="E899">
        <f>COUNTIF(Raw_Data!A:A,Raw_Data!A899)</f>
        <v>1</v>
      </c>
    </row>
    <row r="900" spans="5:5">
      <c r="E900">
        <f>COUNTIF(Raw_Data!A:A,Raw_Data!A900)</f>
        <v>1</v>
      </c>
    </row>
    <row r="901" spans="5:5">
      <c r="E901">
        <f>COUNTIF(Raw_Data!A:A,Raw_Data!A901)</f>
        <v>1</v>
      </c>
    </row>
    <row r="902" spans="5:5">
      <c r="E902">
        <f>COUNTIF(Raw_Data!A:A,Raw_Data!A902)</f>
        <v>1</v>
      </c>
    </row>
    <row r="903" spans="5:5">
      <c r="E903">
        <f>COUNTIF(Raw_Data!A:A,Raw_Data!A903)</f>
        <v>1</v>
      </c>
    </row>
    <row r="904" spans="5:5">
      <c r="E904">
        <f>COUNTIF(Raw_Data!A:A,Raw_Data!A904)</f>
        <v>1</v>
      </c>
    </row>
    <row r="905" spans="5:5">
      <c r="E905">
        <f>COUNTIF(Raw_Data!A:A,Raw_Data!A905)</f>
        <v>1</v>
      </c>
    </row>
    <row r="906" spans="5:5">
      <c r="E906">
        <f>COUNTIF(Raw_Data!A:A,Raw_Data!A906)</f>
        <v>1</v>
      </c>
    </row>
    <row r="907" spans="5:5">
      <c r="E907">
        <f>COUNTIF(Raw_Data!A:A,Raw_Data!A907)</f>
        <v>1</v>
      </c>
    </row>
    <row r="908" spans="5:5">
      <c r="E908">
        <f>COUNTIF(Raw_Data!A:A,Raw_Data!A908)</f>
        <v>1</v>
      </c>
    </row>
    <row r="909" spans="5:5">
      <c r="E909">
        <f>COUNTIF(Raw_Data!A:A,Raw_Data!A909)</f>
        <v>1</v>
      </c>
    </row>
    <row r="910" spans="5:5">
      <c r="E910">
        <f>COUNTIF(Raw_Data!A:A,Raw_Data!A910)</f>
        <v>1</v>
      </c>
    </row>
    <row r="911" spans="5:5">
      <c r="E911">
        <f>COUNTIF(Raw_Data!A:A,Raw_Data!A911)</f>
        <v>1</v>
      </c>
    </row>
    <row r="912" spans="5:5">
      <c r="E912">
        <f>COUNTIF(Raw_Data!A:A,Raw_Data!A912)</f>
        <v>1</v>
      </c>
    </row>
    <row r="913" spans="5:5">
      <c r="E913">
        <f>COUNTIF(Raw_Data!A:A,Raw_Data!A913)</f>
        <v>1</v>
      </c>
    </row>
    <row r="914" spans="5:5">
      <c r="E914">
        <f>COUNTIF(Raw_Data!A:A,Raw_Data!A914)</f>
        <v>1</v>
      </c>
    </row>
    <row r="915" spans="5:5">
      <c r="E915">
        <f>COUNTIF(Raw_Data!A:A,Raw_Data!A915)</f>
        <v>1</v>
      </c>
    </row>
    <row r="916" spans="5:5">
      <c r="E916">
        <f>COUNTIF(Raw_Data!A:A,Raw_Data!A916)</f>
        <v>1</v>
      </c>
    </row>
    <row r="917" spans="5:5">
      <c r="E917">
        <f>COUNTIF(Raw_Data!A:A,Raw_Data!A917)</f>
        <v>1</v>
      </c>
    </row>
    <row r="918" spans="5:5">
      <c r="E918">
        <f>COUNTIF(Raw_Data!A:A,Raw_Data!A918)</f>
        <v>2</v>
      </c>
    </row>
    <row r="919" spans="5:5">
      <c r="E919">
        <f>COUNTIF(Raw_Data!A:A,Raw_Data!A919)</f>
        <v>1</v>
      </c>
    </row>
    <row r="920" spans="5:5">
      <c r="E920">
        <f>COUNTIF(Raw_Data!A:A,Raw_Data!A920)</f>
        <v>1</v>
      </c>
    </row>
    <row r="921" spans="5:5">
      <c r="E921">
        <f>COUNTIF(Raw_Data!A:A,Raw_Data!A921)</f>
        <v>1</v>
      </c>
    </row>
    <row r="922" spans="5:5">
      <c r="E922">
        <f>COUNTIF(Raw_Data!A:A,Raw_Data!A922)</f>
        <v>1</v>
      </c>
    </row>
    <row r="923" spans="5:5">
      <c r="E923">
        <f>COUNTIF(Raw_Data!A:A,Raw_Data!A923)</f>
        <v>1</v>
      </c>
    </row>
    <row r="924" spans="5:5">
      <c r="E924">
        <f>COUNTIF(Raw_Data!A:A,Raw_Data!A924)</f>
        <v>1</v>
      </c>
    </row>
    <row r="925" spans="5:5">
      <c r="E925">
        <f>COUNTIF(Raw_Data!A:A,Raw_Data!A925)</f>
        <v>1</v>
      </c>
    </row>
    <row r="926" spans="5:5">
      <c r="E926">
        <f>COUNTIF(Raw_Data!A:A,Raw_Data!A926)</f>
        <v>1</v>
      </c>
    </row>
    <row r="927" spans="5:5">
      <c r="E927">
        <f>COUNTIF(Raw_Data!A:A,Raw_Data!A927)</f>
        <v>1</v>
      </c>
    </row>
    <row r="928" spans="5:5">
      <c r="E928">
        <f>COUNTIF(Raw_Data!A:A,Raw_Data!A928)</f>
        <v>1</v>
      </c>
    </row>
    <row r="929" spans="5:5">
      <c r="E929">
        <f>COUNTIF(Raw_Data!A:A,Raw_Data!A929)</f>
        <v>1</v>
      </c>
    </row>
    <row r="930" spans="5:5">
      <c r="E930">
        <f>COUNTIF(Raw_Data!A:A,Raw_Data!A930)</f>
        <v>1</v>
      </c>
    </row>
    <row r="931" spans="5:5">
      <c r="E931">
        <f>COUNTIF(Raw_Data!A:A,Raw_Data!A931)</f>
        <v>1</v>
      </c>
    </row>
    <row r="932" spans="5:5">
      <c r="E932">
        <f>COUNTIF(Raw_Data!A:A,Raw_Data!A932)</f>
        <v>1</v>
      </c>
    </row>
    <row r="933" spans="5:5">
      <c r="E933">
        <f>COUNTIF(Raw_Data!A:A,Raw_Data!A933)</f>
        <v>1</v>
      </c>
    </row>
    <row r="934" spans="5:5">
      <c r="E934">
        <f>COUNTIF(Raw_Data!A:A,Raw_Data!A934)</f>
        <v>1</v>
      </c>
    </row>
    <row r="935" spans="5:5">
      <c r="E935">
        <f>COUNTIF(Raw_Data!A:A,Raw_Data!A935)</f>
        <v>1</v>
      </c>
    </row>
    <row r="936" spans="5:5">
      <c r="E936">
        <f>COUNTIF(Raw_Data!A:A,Raw_Data!A936)</f>
        <v>1</v>
      </c>
    </row>
    <row r="937" spans="5:5">
      <c r="E937">
        <f>COUNTIF(Raw_Data!A:A,Raw_Data!A937)</f>
        <v>1</v>
      </c>
    </row>
    <row r="938" spans="5:5">
      <c r="E938">
        <f>COUNTIF(Raw_Data!A:A,Raw_Data!A938)</f>
        <v>1</v>
      </c>
    </row>
    <row r="939" spans="5:5">
      <c r="E939">
        <f>COUNTIF(Raw_Data!A:A,Raw_Data!A939)</f>
        <v>1</v>
      </c>
    </row>
    <row r="940" spans="5:5">
      <c r="E940">
        <f>COUNTIF(Raw_Data!A:A,Raw_Data!A940)</f>
        <v>1</v>
      </c>
    </row>
    <row r="941" spans="5:5">
      <c r="E941">
        <f>COUNTIF(Raw_Data!A:A,Raw_Data!A941)</f>
        <v>1</v>
      </c>
    </row>
    <row r="942" spans="5:5">
      <c r="E942">
        <f>COUNTIF(Raw_Data!A:A,Raw_Data!A942)</f>
        <v>1</v>
      </c>
    </row>
    <row r="943" spans="5:5">
      <c r="E943">
        <f>COUNTIF(Raw_Data!A:A,Raw_Data!A943)</f>
        <v>1</v>
      </c>
    </row>
    <row r="944" spans="5:5">
      <c r="E944">
        <f>COUNTIF(Raw_Data!A:A,Raw_Data!A944)</f>
        <v>1</v>
      </c>
    </row>
    <row r="945" spans="5:5">
      <c r="E945">
        <f>COUNTIF(Raw_Data!A:A,Raw_Data!A945)</f>
        <v>1</v>
      </c>
    </row>
    <row r="946" spans="5:5">
      <c r="E946">
        <f>COUNTIF(Raw_Data!A:A,Raw_Data!A946)</f>
        <v>1</v>
      </c>
    </row>
    <row r="947" spans="5:5">
      <c r="E947">
        <f>COUNTIF(Raw_Data!A:A,Raw_Data!A947)</f>
        <v>1</v>
      </c>
    </row>
    <row r="948" spans="5:5">
      <c r="E948">
        <f>COUNTIF(Raw_Data!A:A,Raw_Data!A948)</f>
        <v>1</v>
      </c>
    </row>
    <row r="949" spans="5:5">
      <c r="E949">
        <f>COUNTIF(Raw_Data!A:A,Raw_Data!A949)</f>
        <v>1</v>
      </c>
    </row>
    <row r="950" spans="5:5">
      <c r="E950">
        <f>COUNTIF(Raw_Data!A:A,Raw_Data!A950)</f>
        <v>1</v>
      </c>
    </row>
    <row r="951" spans="5:5">
      <c r="E951">
        <f>COUNTIF(Raw_Data!A:A,Raw_Data!A951)</f>
        <v>1</v>
      </c>
    </row>
    <row r="952" spans="5:5">
      <c r="E952">
        <f>COUNTIF(Raw_Data!A:A,Raw_Data!A952)</f>
        <v>1</v>
      </c>
    </row>
    <row r="953" spans="5:5">
      <c r="E953">
        <f>COUNTIF(Raw_Data!A:A,Raw_Data!A953)</f>
        <v>1</v>
      </c>
    </row>
    <row r="954" spans="5:5">
      <c r="E954">
        <f>COUNTIF(Raw_Data!A:A,Raw_Data!A954)</f>
        <v>1</v>
      </c>
    </row>
    <row r="955" spans="5:5">
      <c r="E955">
        <f>COUNTIF(Raw_Data!A:A,Raw_Data!A955)</f>
        <v>1</v>
      </c>
    </row>
    <row r="956" spans="5:5">
      <c r="E956">
        <f>COUNTIF(Raw_Data!A:A,Raw_Data!A956)</f>
        <v>1</v>
      </c>
    </row>
    <row r="957" spans="5:5">
      <c r="E957">
        <f>COUNTIF(Raw_Data!A:A,Raw_Data!A957)</f>
        <v>1</v>
      </c>
    </row>
    <row r="958" spans="5:5">
      <c r="E958">
        <f>COUNTIF(Raw_Data!A:A,Raw_Data!A958)</f>
        <v>1</v>
      </c>
    </row>
    <row r="959" spans="5:5">
      <c r="E959">
        <f>COUNTIF(Raw_Data!A:A,Raw_Data!A959)</f>
        <v>1</v>
      </c>
    </row>
    <row r="960" spans="5:5">
      <c r="E960">
        <f>COUNTIF(Raw_Data!A:A,Raw_Data!A960)</f>
        <v>1</v>
      </c>
    </row>
    <row r="961" spans="5:5">
      <c r="E961">
        <f>COUNTIF(Raw_Data!A:A,Raw_Data!A961)</f>
        <v>1</v>
      </c>
    </row>
    <row r="962" spans="5:5">
      <c r="E962">
        <f>COUNTIF(Raw_Data!A:A,Raw_Data!A962)</f>
        <v>1</v>
      </c>
    </row>
    <row r="963" spans="5:5">
      <c r="E963">
        <f>COUNTIF(Raw_Data!A:A,Raw_Data!A963)</f>
        <v>1</v>
      </c>
    </row>
    <row r="964" spans="5:5">
      <c r="E964">
        <f>COUNTIF(Raw_Data!A:A,Raw_Data!A964)</f>
        <v>1</v>
      </c>
    </row>
    <row r="965" spans="5:5">
      <c r="E965">
        <f>COUNTIF(Raw_Data!A:A,Raw_Data!A965)</f>
        <v>1</v>
      </c>
    </row>
    <row r="966" spans="5:5">
      <c r="E966">
        <f>COUNTIF(Raw_Data!A:A,Raw_Data!A966)</f>
        <v>1</v>
      </c>
    </row>
    <row r="967" spans="5:5">
      <c r="E967">
        <f>COUNTIF(Raw_Data!A:A,Raw_Data!A967)</f>
        <v>1</v>
      </c>
    </row>
    <row r="968" spans="5:5">
      <c r="E968">
        <f>COUNTIF(Raw_Data!A:A,Raw_Data!A968)</f>
        <v>1</v>
      </c>
    </row>
    <row r="969" spans="5:5">
      <c r="E969">
        <f>COUNTIF(Raw_Data!A:A,Raw_Data!A969)</f>
        <v>1</v>
      </c>
    </row>
    <row r="970" spans="5:5">
      <c r="E970">
        <f>COUNTIF(Raw_Data!A:A,Raw_Data!A970)</f>
        <v>1</v>
      </c>
    </row>
    <row r="971" spans="5:5">
      <c r="E971">
        <f>COUNTIF(Raw_Data!A:A,Raw_Data!A971)</f>
        <v>1</v>
      </c>
    </row>
    <row r="972" spans="5:5">
      <c r="E972">
        <f>COUNTIF(Raw_Data!A:A,Raw_Data!A972)</f>
        <v>1</v>
      </c>
    </row>
    <row r="973" spans="5:5">
      <c r="E973">
        <f>COUNTIF(Raw_Data!A:A,Raw_Data!A973)</f>
        <v>1</v>
      </c>
    </row>
    <row r="974" spans="5:5">
      <c r="E974">
        <f>COUNTIF(Raw_Data!A:A,Raw_Data!A974)</f>
        <v>1</v>
      </c>
    </row>
    <row r="975" spans="5:5">
      <c r="E975">
        <f>COUNTIF(Raw_Data!A:A,Raw_Data!A975)</f>
        <v>1</v>
      </c>
    </row>
    <row r="976" spans="5:5">
      <c r="E976">
        <f>COUNTIF(Raw_Data!A:A,Raw_Data!A976)</f>
        <v>1</v>
      </c>
    </row>
    <row r="977" spans="5:5">
      <c r="E977">
        <f>COUNTIF(Raw_Data!A:A,Raw_Data!A977)</f>
        <v>1</v>
      </c>
    </row>
    <row r="978" spans="5:5">
      <c r="E978">
        <f>COUNTIF(Raw_Data!A:A,Raw_Data!A978)</f>
        <v>1</v>
      </c>
    </row>
    <row r="979" spans="5:5">
      <c r="E979">
        <f>COUNTIF(Raw_Data!A:A,Raw_Data!A979)</f>
        <v>1</v>
      </c>
    </row>
    <row r="980" spans="5:5">
      <c r="E980">
        <f>COUNTIF(Raw_Data!A:A,Raw_Data!A980)</f>
        <v>1</v>
      </c>
    </row>
    <row r="981" spans="5:5">
      <c r="E981">
        <f>COUNTIF(Raw_Data!A:A,Raw_Data!A981)</f>
        <v>1</v>
      </c>
    </row>
    <row r="982" spans="5:5">
      <c r="E982">
        <f>COUNTIF(Raw_Data!A:A,Raw_Data!A982)</f>
        <v>1</v>
      </c>
    </row>
    <row r="983" spans="5:5">
      <c r="E983">
        <f>COUNTIF(Raw_Data!A:A,Raw_Data!A983)</f>
        <v>1</v>
      </c>
    </row>
    <row r="984" spans="5:5">
      <c r="E984">
        <f>COUNTIF(Raw_Data!A:A,Raw_Data!A984)</f>
        <v>1</v>
      </c>
    </row>
    <row r="985" spans="5:5">
      <c r="E985">
        <f>COUNTIF(Raw_Data!A:A,Raw_Data!A985)</f>
        <v>1</v>
      </c>
    </row>
    <row r="986" spans="5:5">
      <c r="E986">
        <f>COUNTIF(Raw_Data!A:A,Raw_Data!A986)</f>
        <v>1</v>
      </c>
    </row>
    <row r="987" spans="5:5">
      <c r="E987">
        <f>COUNTIF(Raw_Data!A:A,Raw_Data!A987)</f>
        <v>1</v>
      </c>
    </row>
    <row r="988" spans="5:5">
      <c r="E988">
        <f>COUNTIF(Raw_Data!A:A,Raw_Data!A988)</f>
        <v>1</v>
      </c>
    </row>
    <row r="989" spans="5:5">
      <c r="E989">
        <f>COUNTIF(Raw_Data!A:A,Raw_Data!A989)</f>
        <v>1</v>
      </c>
    </row>
    <row r="990" spans="5:5">
      <c r="E990">
        <f>COUNTIF(Raw_Data!A:A,Raw_Data!A990)</f>
        <v>1</v>
      </c>
    </row>
    <row r="991" spans="5:5">
      <c r="E991">
        <f>COUNTIF(Raw_Data!A:A,Raw_Data!A991)</f>
        <v>1</v>
      </c>
    </row>
    <row r="992" spans="5:5">
      <c r="E992">
        <f>COUNTIF(Raw_Data!A:A,Raw_Data!A992)</f>
        <v>1</v>
      </c>
    </row>
    <row r="993" spans="5:5">
      <c r="E993">
        <f>COUNTIF(Raw_Data!A:A,Raw_Data!A993)</f>
        <v>1</v>
      </c>
    </row>
    <row r="994" spans="5:5">
      <c r="E994">
        <f>COUNTIF(Raw_Data!A:A,Raw_Data!A994)</f>
        <v>1</v>
      </c>
    </row>
    <row r="995" spans="5:5">
      <c r="E995">
        <f>COUNTIF(Raw_Data!A:A,Raw_Data!A995)</f>
        <v>1</v>
      </c>
    </row>
    <row r="996" spans="5:5">
      <c r="E996">
        <f>COUNTIF(Raw_Data!A:A,Raw_Data!A996)</f>
        <v>1</v>
      </c>
    </row>
    <row r="997" spans="5:5">
      <c r="E997">
        <f>COUNTIF(Raw_Data!A:A,Raw_Data!A997)</f>
        <v>1</v>
      </c>
    </row>
    <row r="998" spans="5:5">
      <c r="E998">
        <f>COUNTIF(Raw_Data!A:A,Raw_Data!A998)</f>
        <v>1</v>
      </c>
    </row>
    <row r="999" spans="5:5">
      <c r="E999">
        <f>COUNTIF(Raw_Data!A:A,Raw_Data!A999)</f>
        <v>1</v>
      </c>
    </row>
    <row r="1000" spans="5:5">
      <c r="E1000">
        <f>COUNTIF(Raw_Data!A:A,Raw_Data!A1000)</f>
        <v>1</v>
      </c>
    </row>
    <row r="1001" spans="5:5">
      <c r="E1001">
        <f>COUNTIF(Raw_Data!A:A,Raw_Data!A1001)</f>
        <v>1</v>
      </c>
    </row>
    <row r="1002" spans="5:5">
      <c r="E1002">
        <f>COUNTIF(Raw_Data!A:A,Raw_Data!A1002)</f>
        <v>1</v>
      </c>
    </row>
    <row r="1003" spans="5:5">
      <c r="E1003">
        <f>COUNTIF(Raw_Data!A:A,Raw_Data!A1003)</f>
        <v>1</v>
      </c>
    </row>
    <row r="1004" spans="5:5">
      <c r="E1004">
        <f>COUNTIF(Raw_Data!A:A,Raw_Data!A1004)</f>
        <v>1</v>
      </c>
    </row>
    <row r="1005" spans="5:5">
      <c r="E1005">
        <f>COUNTIF(Raw_Data!A:A,Raw_Data!A1005)</f>
        <v>1</v>
      </c>
    </row>
    <row r="1006" spans="5:5">
      <c r="E1006">
        <f>COUNTIF(Raw_Data!A:A,Raw_Data!A1006)</f>
        <v>1</v>
      </c>
    </row>
    <row r="1007" spans="5:5">
      <c r="E1007">
        <f>COUNTIF(Raw_Data!A:A,Raw_Data!A1007)</f>
        <v>1</v>
      </c>
    </row>
    <row r="1008" spans="5:5">
      <c r="E1008">
        <f>COUNTIF(Raw_Data!A:A,Raw_Data!A1008)</f>
        <v>1</v>
      </c>
    </row>
    <row r="1009" spans="5:5">
      <c r="E1009">
        <f>COUNTIF(Raw_Data!A:A,Raw_Data!A1009)</f>
        <v>1</v>
      </c>
    </row>
    <row r="1010" spans="5:5">
      <c r="E1010">
        <f>COUNTIF(Raw_Data!A:A,Raw_Data!A1010)</f>
        <v>1</v>
      </c>
    </row>
    <row r="1011" spans="5:5">
      <c r="E1011">
        <f>COUNTIF(Raw_Data!A:A,Raw_Data!A1011)</f>
        <v>1</v>
      </c>
    </row>
    <row r="1012" spans="5:5">
      <c r="E1012">
        <f>COUNTIF(Raw_Data!A:A,Raw_Data!A1012)</f>
        <v>1</v>
      </c>
    </row>
    <row r="1013" spans="5:5">
      <c r="E1013">
        <f>COUNTIF(Raw_Data!A:A,Raw_Data!A1013)</f>
        <v>1</v>
      </c>
    </row>
    <row r="1014" spans="5:5">
      <c r="E1014">
        <f>COUNTIF(Raw_Data!A:A,Raw_Data!A1014)</f>
        <v>1</v>
      </c>
    </row>
    <row r="1015" spans="5:5">
      <c r="E1015">
        <f>COUNTIF(Raw_Data!A:A,Raw_Data!A1015)</f>
        <v>1</v>
      </c>
    </row>
    <row r="1016" spans="5:5">
      <c r="E1016">
        <f>COUNTIF(Raw_Data!A:A,Raw_Data!A1016)</f>
        <v>1</v>
      </c>
    </row>
    <row r="1017" spans="5:5">
      <c r="E1017">
        <f>COUNTIF(Raw_Data!A:A,Raw_Data!A1017)</f>
        <v>1</v>
      </c>
    </row>
    <row r="1018" spans="5:5">
      <c r="E1018">
        <f>COUNTIF(Raw_Data!A:A,Raw_Data!A1018)</f>
        <v>1</v>
      </c>
    </row>
    <row r="1019" spans="5:5">
      <c r="E1019">
        <f>COUNTIF(Raw_Data!A:A,Raw_Data!A1019)</f>
        <v>1</v>
      </c>
    </row>
    <row r="1020" spans="5:5">
      <c r="E1020">
        <f>COUNTIF(Raw_Data!A:A,Raw_Data!A1020)</f>
        <v>1</v>
      </c>
    </row>
    <row r="1021" spans="5:5">
      <c r="E1021">
        <f>COUNTIF(Raw_Data!A:A,Raw_Data!A1021)</f>
        <v>1</v>
      </c>
    </row>
    <row r="1022" spans="5:5">
      <c r="E1022">
        <f>COUNTIF(Raw_Data!A:A,Raw_Data!A1022)</f>
        <v>1</v>
      </c>
    </row>
    <row r="1023" spans="5:5">
      <c r="E1023">
        <f>COUNTIF(Raw_Data!A:A,Raw_Data!A1023)</f>
        <v>1</v>
      </c>
    </row>
    <row r="1024" spans="5:5">
      <c r="E1024">
        <f>COUNTIF(Raw_Data!A:A,Raw_Data!A1024)</f>
        <v>1</v>
      </c>
    </row>
    <row r="1025" spans="5:5">
      <c r="E1025">
        <f>COUNTIF(Raw_Data!A:A,Raw_Data!A1025)</f>
        <v>1</v>
      </c>
    </row>
    <row r="1026" spans="5:5">
      <c r="E1026">
        <f>COUNTIF(Raw_Data!A:A,Raw_Data!A1026)</f>
        <v>1</v>
      </c>
    </row>
    <row r="1027" spans="5:5">
      <c r="E1027">
        <f>COUNTIF(Raw_Data!A:A,Raw_Data!A1027)</f>
        <v>1</v>
      </c>
    </row>
    <row r="1028" spans="5:5">
      <c r="E1028">
        <f>COUNTIF(Raw_Data!A:A,Raw_Data!A1028)</f>
        <v>1</v>
      </c>
    </row>
    <row r="1029" spans="5:5">
      <c r="E1029">
        <f>COUNTIF(Raw_Data!A:A,Raw_Data!A1029)</f>
        <v>1</v>
      </c>
    </row>
    <row r="1030" spans="5:5">
      <c r="E1030">
        <f>COUNTIF(Raw_Data!A:A,Raw_Data!A1030)</f>
        <v>1</v>
      </c>
    </row>
    <row r="1031" spans="5:5">
      <c r="E1031">
        <f>COUNTIF(Raw_Data!A:A,Raw_Data!A1031)</f>
        <v>1</v>
      </c>
    </row>
    <row r="1032" spans="5:5">
      <c r="E1032">
        <f>COUNTIF(Raw_Data!A:A,Raw_Data!A1032)</f>
        <v>1</v>
      </c>
    </row>
    <row r="1033" spans="5:5">
      <c r="E1033">
        <f>COUNTIF(Raw_Data!A:A,Raw_Data!A1033)</f>
        <v>1</v>
      </c>
    </row>
    <row r="1034" spans="5:5">
      <c r="E1034">
        <f>COUNTIF(Raw_Data!A:A,Raw_Data!A1034)</f>
        <v>1</v>
      </c>
    </row>
    <row r="1035" spans="5:5">
      <c r="E1035">
        <f>COUNTIF(Raw_Data!A:A,Raw_Data!A1035)</f>
        <v>1</v>
      </c>
    </row>
    <row r="1036" spans="5:5">
      <c r="E1036">
        <f>COUNTIF(Raw_Data!A:A,Raw_Data!A1036)</f>
        <v>1</v>
      </c>
    </row>
    <row r="1037" spans="5:5">
      <c r="E1037">
        <f>COUNTIF(Raw_Data!A:A,Raw_Data!A1037)</f>
        <v>1</v>
      </c>
    </row>
    <row r="1038" spans="5:5">
      <c r="E1038">
        <f>COUNTIF(Raw_Data!A:A,Raw_Data!A1038)</f>
        <v>1</v>
      </c>
    </row>
    <row r="1039" spans="5:5">
      <c r="E1039">
        <f>COUNTIF(Raw_Data!A:A,Raw_Data!A1039)</f>
        <v>1</v>
      </c>
    </row>
    <row r="1040" spans="5:5">
      <c r="E1040">
        <f>COUNTIF(Raw_Data!A:A,Raw_Data!A1040)</f>
        <v>1</v>
      </c>
    </row>
    <row r="1041" spans="5:5">
      <c r="E1041">
        <f>COUNTIF(Raw_Data!A:A,Raw_Data!A1041)</f>
        <v>1</v>
      </c>
    </row>
    <row r="1042" spans="5:5">
      <c r="E1042">
        <f>COUNTIF(Raw_Data!A:A,Raw_Data!A1042)</f>
        <v>1</v>
      </c>
    </row>
    <row r="1043" spans="5:5">
      <c r="E1043">
        <f>COUNTIF(Raw_Data!A:A,Raw_Data!A1043)</f>
        <v>1</v>
      </c>
    </row>
    <row r="1044" spans="5:5">
      <c r="E1044">
        <f>COUNTIF(Raw_Data!A:A,Raw_Data!A1044)</f>
        <v>1</v>
      </c>
    </row>
    <row r="1045" spans="5:5">
      <c r="E1045">
        <f>COUNTIF(Raw_Data!A:A,Raw_Data!A1045)</f>
        <v>1</v>
      </c>
    </row>
    <row r="1046" spans="5:5">
      <c r="E1046">
        <f>COUNTIF(Raw_Data!A:A,Raw_Data!A1046)</f>
        <v>1</v>
      </c>
    </row>
    <row r="1047" spans="5:5">
      <c r="E1047">
        <f>COUNTIF(Raw_Data!A:A,Raw_Data!A1047)</f>
        <v>1</v>
      </c>
    </row>
    <row r="1048" spans="5:5">
      <c r="E1048">
        <f>COUNTIF(Raw_Data!A:A,Raw_Data!A1048)</f>
        <v>1</v>
      </c>
    </row>
    <row r="1049" spans="5:5">
      <c r="E1049">
        <f>COUNTIF(Raw_Data!A:A,Raw_Data!A1049)</f>
        <v>1</v>
      </c>
    </row>
    <row r="1050" spans="5:5">
      <c r="E1050">
        <f>COUNTIF(Raw_Data!A:A,Raw_Data!A1050)</f>
        <v>1</v>
      </c>
    </row>
    <row r="1051" spans="5:5">
      <c r="E1051">
        <f>COUNTIF(Raw_Data!A:A,Raw_Data!A1051)</f>
        <v>1</v>
      </c>
    </row>
    <row r="1052" spans="5:5">
      <c r="E1052">
        <f>COUNTIF(Raw_Data!A:A,Raw_Data!A1052)</f>
        <v>1</v>
      </c>
    </row>
    <row r="1053" spans="5:5">
      <c r="E1053">
        <f>COUNTIF(Raw_Data!A:A,Raw_Data!A1053)</f>
        <v>1</v>
      </c>
    </row>
    <row r="1054" spans="5:5">
      <c r="E1054">
        <f>COUNTIF(Raw_Data!A:A,Raw_Data!A1054)</f>
        <v>1</v>
      </c>
    </row>
    <row r="1055" spans="5:5">
      <c r="E1055">
        <f>COUNTIF(Raw_Data!A:A,Raw_Data!A1055)</f>
        <v>1</v>
      </c>
    </row>
    <row r="1056" spans="5:5">
      <c r="E1056">
        <f>COUNTIF(Raw_Data!A:A,Raw_Data!A1056)</f>
        <v>1</v>
      </c>
    </row>
    <row r="1057" spans="5:5">
      <c r="E1057">
        <f>COUNTIF(Raw_Data!A:A,Raw_Data!A1057)</f>
        <v>1</v>
      </c>
    </row>
    <row r="1058" spans="5:5">
      <c r="E1058">
        <f>COUNTIF(Raw_Data!A:A,Raw_Data!A1058)</f>
        <v>1</v>
      </c>
    </row>
    <row r="1059" spans="5:5">
      <c r="E1059">
        <f>COUNTIF(Raw_Data!A:A,Raw_Data!A1059)</f>
        <v>1</v>
      </c>
    </row>
    <row r="1060" spans="5:5">
      <c r="E1060">
        <f>COUNTIF(Raw_Data!A:A,Raw_Data!A1060)</f>
        <v>2</v>
      </c>
    </row>
    <row r="1061" spans="5:5">
      <c r="E1061">
        <f>COUNTIF(Raw_Data!A:A,Raw_Data!A1061)</f>
        <v>1</v>
      </c>
    </row>
    <row r="1062" spans="5:5">
      <c r="E1062">
        <f>COUNTIF(Raw_Data!A:A,Raw_Data!A1062)</f>
        <v>1</v>
      </c>
    </row>
    <row r="1063" spans="5:5">
      <c r="E1063">
        <f>COUNTIF(Raw_Data!A:A,Raw_Data!A1063)</f>
        <v>1</v>
      </c>
    </row>
    <row r="1064" spans="5:5">
      <c r="E1064">
        <f>COUNTIF(Raw_Data!A:A,Raw_Data!A1064)</f>
        <v>1</v>
      </c>
    </row>
    <row r="1065" spans="5:5">
      <c r="E1065">
        <f>COUNTIF(Raw_Data!A:A,Raw_Data!A1065)</f>
        <v>1</v>
      </c>
    </row>
    <row r="1066" spans="5:5">
      <c r="E1066">
        <f>COUNTIF(Raw_Data!A:A,Raw_Data!A1066)</f>
        <v>1</v>
      </c>
    </row>
    <row r="1067" spans="5:5">
      <c r="E1067">
        <f>COUNTIF(Raw_Data!A:A,Raw_Data!A1067)</f>
        <v>1</v>
      </c>
    </row>
    <row r="1068" spans="5:5">
      <c r="E1068">
        <f>COUNTIF(Raw_Data!A:A,Raw_Data!A1068)</f>
        <v>1</v>
      </c>
    </row>
    <row r="1069" spans="5:5">
      <c r="E1069">
        <f>COUNTIF(Raw_Data!A:A,Raw_Data!A1069)</f>
        <v>1</v>
      </c>
    </row>
    <row r="1070" spans="5:5">
      <c r="E1070">
        <f>COUNTIF(Raw_Data!A:A,Raw_Data!A1070)</f>
        <v>1</v>
      </c>
    </row>
    <row r="1071" spans="5:5">
      <c r="E1071">
        <f>COUNTIF(Raw_Data!A:A,Raw_Data!A1071)</f>
        <v>1</v>
      </c>
    </row>
    <row r="1072" spans="5:5">
      <c r="E1072">
        <f>COUNTIF(Raw_Data!A:A,Raw_Data!A1072)</f>
        <v>1</v>
      </c>
    </row>
    <row r="1073" spans="5:5">
      <c r="E1073">
        <f>COUNTIF(Raw_Data!A:A,Raw_Data!A1073)</f>
        <v>1</v>
      </c>
    </row>
    <row r="1074" spans="5:5">
      <c r="E1074">
        <f>COUNTIF(Raw_Data!A:A,Raw_Data!A1074)</f>
        <v>1</v>
      </c>
    </row>
    <row r="1075" spans="5:5">
      <c r="E1075">
        <f>COUNTIF(Raw_Data!A:A,Raw_Data!A1075)</f>
        <v>1</v>
      </c>
    </row>
    <row r="1076" spans="5:5">
      <c r="E1076">
        <f>COUNTIF(Raw_Data!A:A,Raw_Data!A1076)</f>
        <v>1</v>
      </c>
    </row>
    <row r="1077" spans="5:5">
      <c r="E1077">
        <f>COUNTIF(Raw_Data!A:A,Raw_Data!A1077)</f>
        <v>1</v>
      </c>
    </row>
    <row r="1078" spans="5:5">
      <c r="E1078">
        <f>COUNTIF(Raw_Data!A:A,Raw_Data!A1078)</f>
        <v>1</v>
      </c>
    </row>
    <row r="1079" spans="5:5">
      <c r="E1079">
        <f>COUNTIF(Raw_Data!A:A,Raw_Data!A1079)</f>
        <v>1</v>
      </c>
    </row>
    <row r="1080" spans="5:5">
      <c r="E1080">
        <f>COUNTIF(Raw_Data!A:A,Raw_Data!A1080)</f>
        <v>1</v>
      </c>
    </row>
    <row r="1081" spans="5:5">
      <c r="E1081">
        <f>COUNTIF(Raw_Data!A:A,Raw_Data!A1081)</f>
        <v>1</v>
      </c>
    </row>
    <row r="1082" spans="5:5">
      <c r="E1082">
        <f>COUNTIF(Raw_Data!A:A,Raw_Data!A1082)</f>
        <v>1</v>
      </c>
    </row>
    <row r="1083" spans="5:5">
      <c r="E1083">
        <f>COUNTIF(Raw_Data!A:A,Raw_Data!A1083)</f>
        <v>1</v>
      </c>
    </row>
    <row r="1084" spans="5:5">
      <c r="E1084">
        <f>COUNTIF(Raw_Data!A:A,Raw_Data!A1084)</f>
        <v>1</v>
      </c>
    </row>
    <row r="1085" spans="5:5">
      <c r="E1085">
        <f>COUNTIF(Raw_Data!A:A,Raw_Data!A1085)</f>
        <v>1</v>
      </c>
    </row>
    <row r="1086" spans="5:5">
      <c r="E1086">
        <f>COUNTIF(Raw_Data!A:A,Raw_Data!A1086)</f>
        <v>1</v>
      </c>
    </row>
    <row r="1087" spans="5:5">
      <c r="E1087">
        <f>COUNTIF(Raw_Data!A:A,Raw_Data!A1087)</f>
        <v>1</v>
      </c>
    </row>
    <row r="1088" spans="5:5">
      <c r="E1088">
        <f>COUNTIF(Raw_Data!A:A,Raw_Data!A1088)</f>
        <v>1</v>
      </c>
    </row>
    <row r="1089" spans="5:5">
      <c r="E1089">
        <f>COUNTIF(Raw_Data!A:A,Raw_Data!A1089)</f>
        <v>1</v>
      </c>
    </row>
    <row r="1090" spans="5:5">
      <c r="E1090">
        <f>COUNTIF(Raw_Data!A:A,Raw_Data!A1090)</f>
        <v>1</v>
      </c>
    </row>
    <row r="1091" spans="5:5">
      <c r="E1091">
        <f>COUNTIF(Raw_Data!A:A,Raw_Data!A1091)</f>
        <v>1</v>
      </c>
    </row>
    <row r="1092" spans="5:5">
      <c r="E1092">
        <f>COUNTIF(Raw_Data!A:A,Raw_Data!A1092)</f>
        <v>1</v>
      </c>
    </row>
    <row r="1093" spans="5:5">
      <c r="E1093">
        <f>COUNTIF(Raw_Data!A:A,Raw_Data!A1093)</f>
        <v>1</v>
      </c>
    </row>
    <row r="1094" spans="5:5">
      <c r="E1094">
        <f>COUNTIF(Raw_Data!A:A,Raw_Data!A1094)</f>
        <v>1</v>
      </c>
    </row>
    <row r="1095" spans="5:5">
      <c r="E1095">
        <f>COUNTIF(Raw_Data!A:A,Raw_Data!A1095)</f>
        <v>1</v>
      </c>
    </row>
    <row r="1096" spans="5:5">
      <c r="E1096">
        <f>COUNTIF(Raw_Data!A:A,Raw_Data!A1096)</f>
        <v>1</v>
      </c>
    </row>
    <row r="1097" spans="5:5">
      <c r="E1097">
        <f>COUNTIF(Raw_Data!A:A,Raw_Data!A1097)</f>
        <v>1</v>
      </c>
    </row>
    <row r="1098" spans="5:5">
      <c r="E1098">
        <f>COUNTIF(Raw_Data!A:A,Raw_Data!A1098)</f>
        <v>1</v>
      </c>
    </row>
    <row r="1099" spans="5:5">
      <c r="E1099">
        <f>COUNTIF(Raw_Data!A:A,Raw_Data!A1099)</f>
        <v>1</v>
      </c>
    </row>
    <row r="1100" spans="5:5">
      <c r="E1100">
        <f>COUNTIF(Raw_Data!A:A,Raw_Data!A1100)</f>
        <v>1</v>
      </c>
    </row>
    <row r="1101" spans="5:5">
      <c r="E1101">
        <f>COUNTIF(Raw_Data!A:A,Raw_Data!A1101)</f>
        <v>1</v>
      </c>
    </row>
    <row r="1102" spans="5:5">
      <c r="E1102">
        <f>COUNTIF(Raw_Data!A:A,Raw_Data!A1102)</f>
        <v>1</v>
      </c>
    </row>
    <row r="1103" spans="5:5">
      <c r="E1103">
        <f>COUNTIF(Raw_Data!A:A,Raw_Data!A1103)</f>
        <v>1</v>
      </c>
    </row>
    <row r="1104" spans="5:5">
      <c r="E1104">
        <f>COUNTIF(Raw_Data!A:A,Raw_Data!A1104)</f>
        <v>1</v>
      </c>
    </row>
    <row r="1105" spans="5:5">
      <c r="E1105">
        <f>COUNTIF(Raw_Data!A:A,Raw_Data!A1105)</f>
        <v>1</v>
      </c>
    </row>
    <row r="1106" spans="5:5">
      <c r="E1106">
        <f>COUNTIF(Raw_Data!A:A,Raw_Data!A1106)</f>
        <v>1</v>
      </c>
    </row>
    <row r="1107" spans="5:5">
      <c r="E1107">
        <f>COUNTIF(Raw_Data!A:A,Raw_Data!A1107)</f>
        <v>1</v>
      </c>
    </row>
    <row r="1108" spans="5:5">
      <c r="E1108">
        <f>COUNTIF(Raw_Data!A:A,Raw_Data!A1108)</f>
        <v>1</v>
      </c>
    </row>
    <row r="1109" spans="5:5">
      <c r="E1109">
        <f>COUNTIF(Raw_Data!A:A,Raw_Data!A1109)</f>
        <v>1</v>
      </c>
    </row>
    <row r="1110" spans="5:5">
      <c r="E1110">
        <f>COUNTIF(Raw_Data!A:A,Raw_Data!A1110)</f>
        <v>1</v>
      </c>
    </row>
    <row r="1111" spans="5:5">
      <c r="E1111">
        <f>COUNTIF(Raw_Data!A:A,Raw_Data!A1111)</f>
        <v>1</v>
      </c>
    </row>
    <row r="1112" spans="5:5">
      <c r="E1112">
        <f>COUNTIF(Raw_Data!A:A,Raw_Data!A1112)</f>
        <v>1</v>
      </c>
    </row>
    <row r="1113" spans="5:5">
      <c r="E1113">
        <f>COUNTIF(Raw_Data!A:A,Raw_Data!A1113)</f>
        <v>1</v>
      </c>
    </row>
    <row r="1114" spans="5:5">
      <c r="E1114">
        <f>COUNTIF(Raw_Data!A:A,Raw_Data!A1114)</f>
        <v>1</v>
      </c>
    </row>
    <row r="1115" spans="5:5">
      <c r="E1115">
        <f>COUNTIF(Raw_Data!A:A,Raw_Data!A1115)</f>
        <v>1</v>
      </c>
    </row>
    <row r="1116" spans="5:5">
      <c r="E1116">
        <f>COUNTIF(Raw_Data!A:A,Raw_Data!A1116)</f>
        <v>1</v>
      </c>
    </row>
    <row r="1117" spans="5:5">
      <c r="E1117">
        <f>COUNTIF(Raw_Data!A:A,Raw_Data!A1117)</f>
        <v>1</v>
      </c>
    </row>
    <row r="1118" spans="5:5">
      <c r="E1118">
        <f>COUNTIF(Raw_Data!A:A,Raw_Data!A1118)</f>
        <v>1</v>
      </c>
    </row>
    <row r="1119" spans="5:5">
      <c r="E1119">
        <f>COUNTIF(Raw_Data!A:A,Raw_Data!A1119)</f>
        <v>1</v>
      </c>
    </row>
    <row r="1120" spans="5:5">
      <c r="E1120">
        <f>COUNTIF(Raw_Data!A:A,Raw_Data!A1120)</f>
        <v>1</v>
      </c>
    </row>
    <row r="1121" spans="5:5">
      <c r="E1121">
        <f>COUNTIF(Raw_Data!A:A,Raw_Data!A1121)</f>
        <v>1</v>
      </c>
    </row>
    <row r="1122" spans="5:5">
      <c r="E1122">
        <f>COUNTIF(Raw_Data!A:A,Raw_Data!A1122)</f>
        <v>1</v>
      </c>
    </row>
    <row r="1123" spans="5:5">
      <c r="E1123">
        <f>COUNTIF(Raw_Data!A:A,Raw_Data!A1123)</f>
        <v>1</v>
      </c>
    </row>
    <row r="1124" spans="5:5">
      <c r="E1124">
        <f>COUNTIF(Raw_Data!A:A,Raw_Data!A1124)</f>
        <v>1</v>
      </c>
    </row>
    <row r="1125" spans="5:5">
      <c r="E1125">
        <f>COUNTIF(Raw_Data!A:A,Raw_Data!A1125)</f>
        <v>1</v>
      </c>
    </row>
    <row r="1126" spans="5:5">
      <c r="E1126">
        <f>COUNTIF(Raw_Data!A:A,Raw_Data!A1126)</f>
        <v>1</v>
      </c>
    </row>
    <row r="1127" spans="5:5">
      <c r="E1127">
        <f>COUNTIF(Raw_Data!A:A,Raw_Data!A1127)</f>
        <v>1</v>
      </c>
    </row>
    <row r="1128" spans="5:5">
      <c r="E1128">
        <f>COUNTIF(Raw_Data!A:A,Raw_Data!A1128)</f>
        <v>1</v>
      </c>
    </row>
    <row r="1129" spans="5:5">
      <c r="E1129">
        <f>COUNTIF(Raw_Data!A:A,Raw_Data!A1129)</f>
        <v>1</v>
      </c>
    </row>
    <row r="1130" spans="5:5">
      <c r="E1130">
        <f>COUNTIF(Raw_Data!A:A,Raw_Data!A1130)</f>
        <v>1</v>
      </c>
    </row>
    <row r="1131" spans="5:5">
      <c r="E1131">
        <f>COUNTIF(Raw_Data!A:A,Raw_Data!A1131)</f>
        <v>1</v>
      </c>
    </row>
    <row r="1132" spans="5:5">
      <c r="E1132">
        <f>COUNTIF(Raw_Data!A:A,Raw_Data!A1132)</f>
        <v>1</v>
      </c>
    </row>
    <row r="1133" spans="5:5">
      <c r="E1133">
        <f>COUNTIF(Raw_Data!A:A,Raw_Data!A1133)</f>
        <v>1</v>
      </c>
    </row>
    <row r="1134" spans="5:5">
      <c r="E1134">
        <f>COUNTIF(Raw_Data!A:A,Raw_Data!A1134)</f>
        <v>1</v>
      </c>
    </row>
    <row r="1135" spans="5:5">
      <c r="E1135">
        <f>COUNTIF(Raw_Data!A:A,Raw_Data!A1135)</f>
        <v>1</v>
      </c>
    </row>
    <row r="1136" spans="5:5">
      <c r="E1136">
        <f>COUNTIF(Raw_Data!A:A,Raw_Data!A1136)</f>
        <v>1</v>
      </c>
    </row>
    <row r="1137" spans="5:5">
      <c r="E1137">
        <f>COUNTIF(Raw_Data!A:A,Raw_Data!A1137)</f>
        <v>1</v>
      </c>
    </row>
    <row r="1138" spans="5:5">
      <c r="E1138">
        <f>COUNTIF(Raw_Data!A:A,Raw_Data!A1138)</f>
        <v>1</v>
      </c>
    </row>
    <row r="1139" spans="5:5">
      <c r="E1139">
        <f>COUNTIF(Raw_Data!A:A,Raw_Data!A1139)</f>
        <v>1</v>
      </c>
    </row>
    <row r="1140" spans="5:5">
      <c r="E1140">
        <f>COUNTIF(Raw_Data!A:A,Raw_Data!A1140)</f>
        <v>1</v>
      </c>
    </row>
    <row r="1141" spans="5:5">
      <c r="E1141">
        <f>COUNTIF(Raw_Data!A:A,Raw_Data!A1141)</f>
        <v>1</v>
      </c>
    </row>
    <row r="1142" spans="5:5">
      <c r="E1142">
        <f>COUNTIF(Raw_Data!A:A,Raw_Data!A1142)</f>
        <v>1</v>
      </c>
    </row>
    <row r="1143" spans="5:5">
      <c r="E1143">
        <f>COUNTIF(Raw_Data!A:A,Raw_Data!A1143)</f>
        <v>1</v>
      </c>
    </row>
    <row r="1144" spans="5:5">
      <c r="E1144">
        <f>COUNTIF(Raw_Data!A:A,Raw_Data!A1144)</f>
        <v>1</v>
      </c>
    </row>
    <row r="1145" spans="5:5">
      <c r="E1145">
        <f>COUNTIF(Raw_Data!A:A,Raw_Data!A1145)</f>
        <v>1</v>
      </c>
    </row>
    <row r="1146" spans="5:5">
      <c r="E1146">
        <f>COUNTIF(Raw_Data!A:A,Raw_Data!A1146)</f>
        <v>1</v>
      </c>
    </row>
    <row r="1147" spans="5:5">
      <c r="E1147">
        <f>COUNTIF(Raw_Data!A:A,Raw_Data!A1147)</f>
        <v>1</v>
      </c>
    </row>
    <row r="1148" spans="5:5">
      <c r="E1148">
        <f>COUNTIF(Raw_Data!A:A,Raw_Data!A1148)</f>
        <v>1</v>
      </c>
    </row>
    <row r="1149" spans="5:5">
      <c r="E1149">
        <f>COUNTIF(Raw_Data!A:A,Raw_Data!A1149)</f>
        <v>1</v>
      </c>
    </row>
    <row r="1150" spans="5:5">
      <c r="E1150">
        <f>COUNTIF(Raw_Data!A:A,Raw_Data!A1150)</f>
        <v>1</v>
      </c>
    </row>
    <row r="1151" spans="5:5">
      <c r="E1151">
        <f>COUNTIF(Raw_Data!A:A,Raw_Data!A1151)</f>
        <v>1</v>
      </c>
    </row>
    <row r="1152" spans="5:5">
      <c r="E1152">
        <f>COUNTIF(Raw_Data!A:A,Raw_Data!A1152)</f>
        <v>1</v>
      </c>
    </row>
    <row r="1153" spans="5:5">
      <c r="E1153">
        <f>COUNTIF(Raw_Data!A:A,Raw_Data!A1153)</f>
        <v>1</v>
      </c>
    </row>
    <row r="1154" spans="5:5">
      <c r="E1154">
        <f>COUNTIF(Raw_Data!A:A,Raw_Data!A1154)</f>
        <v>1</v>
      </c>
    </row>
    <row r="1155" spans="5:5">
      <c r="E1155">
        <f>COUNTIF(Raw_Data!A:A,Raw_Data!A1155)</f>
        <v>1</v>
      </c>
    </row>
    <row r="1156" spans="5:5">
      <c r="E1156">
        <f>COUNTIF(Raw_Data!A:A,Raw_Data!A1156)</f>
        <v>1</v>
      </c>
    </row>
    <row r="1157" spans="5:5">
      <c r="E1157">
        <f>COUNTIF(Raw_Data!A:A,Raw_Data!A1157)</f>
        <v>1</v>
      </c>
    </row>
    <row r="1158" spans="5:5">
      <c r="E1158">
        <f>COUNTIF(Raw_Data!A:A,Raw_Data!A1158)</f>
        <v>1</v>
      </c>
    </row>
    <row r="1159" spans="5:5">
      <c r="E1159">
        <f>COUNTIF(Raw_Data!A:A,Raw_Data!A1159)</f>
        <v>1</v>
      </c>
    </row>
    <row r="1160" spans="5:5">
      <c r="E1160">
        <f>COUNTIF(Raw_Data!A:A,Raw_Data!A1160)</f>
        <v>1</v>
      </c>
    </row>
    <row r="1161" spans="5:5">
      <c r="E1161">
        <f>COUNTIF(Raw_Data!A:A,Raw_Data!A1161)</f>
        <v>1</v>
      </c>
    </row>
    <row r="1162" spans="5:5">
      <c r="E1162">
        <f>COUNTIF(Raw_Data!A:A,Raw_Data!A1162)</f>
        <v>1</v>
      </c>
    </row>
    <row r="1163" spans="5:5">
      <c r="E1163">
        <f>COUNTIF(Raw_Data!A:A,Raw_Data!A1163)</f>
        <v>1</v>
      </c>
    </row>
    <row r="1164" spans="5:5">
      <c r="E1164">
        <f>COUNTIF(Raw_Data!A:A,Raw_Data!A1164)</f>
        <v>1</v>
      </c>
    </row>
    <row r="1165" spans="5:5">
      <c r="E1165">
        <f>COUNTIF(Raw_Data!A:A,Raw_Data!A1165)</f>
        <v>1</v>
      </c>
    </row>
    <row r="1166" spans="5:5">
      <c r="E1166">
        <f>COUNTIF(Raw_Data!A:A,Raw_Data!A1166)</f>
        <v>1</v>
      </c>
    </row>
    <row r="1167" spans="5:5">
      <c r="E1167">
        <f>COUNTIF(Raw_Data!A:A,Raw_Data!A1167)</f>
        <v>1</v>
      </c>
    </row>
    <row r="1168" spans="5:5">
      <c r="E1168">
        <f>COUNTIF(Raw_Data!A:A,Raw_Data!A1168)</f>
        <v>1</v>
      </c>
    </row>
    <row r="1169" spans="5:5">
      <c r="E1169">
        <f>COUNTIF(Raw_Data!A:A,Raw_Data!A1169)</f>
        <v>1</v>
      </c>
    </row>
    <row r="1170" spans="5:5">
      <c r="E1170">
        <f>COUNTIF(Raw_Data!A:A,Raw_Data!A1170)</f>
        <v>1</v>
      </c>
    </row>
    <row r="1171" spans="5:5">
      <c r="E1171">
        <f>COUNTIF(Raw_Data!A:A,Raw_Data!A1171)</f>
        <v>1</v>
      </c>
    </row>
    <row r="1172" spans="5:5">
      <c r="E1172">
        <f>COUNTIF(Raw_Data!A:A,Raw_Data!A1172)</f>
        <v>1</v>
      </c>
    </row>
    <row r="1173" spans="5:5">
      <c r="E1173">
        <f>COUNTIF(Raw_Data!A:A,Raw_Data!A1173)</f>
        <v>1</v>
      </c>
    </row>
    <row r="1174" spans="5:5">
      <c r="E1174">
        <f>COUNTIF(Raw_Data!A:A,Raw_Data!A1174)</f>
        <v>1</v>
      </c>
    </row>
    <row r="1175" spans="5:5">
      <c r="E1175">
        <f>COUNTIF(Raw_Data!A:A,Raw_Data!A1175)</f>
        <v>1</v>
      </c>
    </row>
    <row r="1176" spans="5:5">
      <c r="E1176">
        <f>COUNTIF(Raw_Data!A:A,Raw_Data!A1176)</f>
        <v>1</v>
      </c>
    </row>
    <row r="1177" spans="5:5">
      <c r="E1177">
        <f>COUNTIF(Raw_Data!A:A,Raw_Data!A1177)</f>
        <v>1</v>
      </c>
    </row>
    <row r="1178" spans="5:5">
      <c r="E1178">
        <f>COUNTIF(Raw_Data!A:A,Raw_Data!A1178)</f>
        <v>1</v>
      </c>
    </row>
    <row r="1179" spans="5:5">
      <c r="E1179">
        <f>COUNTIF(Raw_Data!A:A,Raw_Data!A1179)</f>
        <v>1</v>
      </c>
    </row>
    <row r="1180" spans="5:5">
      <c r="E1180">
        <f>COUNTIF(Raw_Data!A:A,Raw_Data!A1180)</f>
        <v>1</v>
      </c>
    </row>
    <row r="1181" spans="5:5">
      <c r="E1181">
        <f>COUNTIF(Raw_Data!A:A,Raw_Data!A1181)</f>
        <v>1</v>
      </c>
    </row>
    <row r="1182" spans="5:5">
      <c r="E1182">
        <f>COUNTIF(Raw_Data!A:A,Raw_Data!A1182)</f>
        <v>1</v>
      </c>
    </row>
    <row r="1183" spans="5:5">
      <c r="E1183">
        <f>COUNTIF(Raw_Data!A:A,Raw_Data!A1183)</f>
        <v>1</v>
      </c>
    </row>
    <row r="1184" spans="5:5">
      <c r="E1184">
        <f>COUNTIF(Raw_Data!A:A,Raw_Data!A1184)</f>
        <v>1</v>
      </c>
    </row>
    <row r="1185" spans="5:5">
      <c r="E1185">
        <f>COUNTIF(Raw_Data!A:A,Raw_Data!A1185)</f>
        <v>1</v>
      </c>
    </row>
    <row r="1186" spans="5:5">
      <c r="E1186">
        <f>COUNTIF(Raw_Data!A:A,Raw_Data!A1186)</f>
        <v>1</v>
      </c>
    </row>
    <row r="1187" spans="5:5">
      <c r="E1187">
        <f>COUNTIF(Raw_Data!A:A,Raw_Data!A1187)</f>
        <v>1</v>
      </c>
    </row>
    <row r="1188" spans="5:5">
      <c r="E1188">
        <f>COUNTIF(Raw_Data!A:A,Raw_Data!A1188)</f>
        <v>1</v>
      </c>
    </row>
    <row r="1189" spans="5:5">
      <c r="E1189">
        <f>COUNTIF(Raw_Data!A:A,Raw_Data!A1189)</f>
        <v>1</v>
      </c>
    </row>
    <row r="1190" spans="5:5">
      <c r="E1190">
        <f>COUNTIF(Raw_Data!A:A,Raw_Data!A1190)</f>
        <v>1</v>
      </c>
    </row>
    <row r="1191" spans="5:5">
      <c r="E1191">
        <f>COUNTIF(Raw_Data!A:A,Raw_Data!A1191)</f>
        <v>1</v>
      </c>
    </row>
    <row r="1192" spans="5:5">
      <c r="E1192">
        <f>COUNTIF(Raw_Data!A:A,Raw_Data!A1192)</f>
        <v>1</v>
      </c>
    </row>
    <row r="1193" spans="5:5">
      <c r="E1193">
        <f>COUNTIF(Raw_Data!A:A,Raw_Data!A1193)</f>
        <v>1</v>
      </c>
    </row>
    <row r="1194" spans="5:5">
      <c r="E1194">
        <f>COUNTIF(Raw_Data!A:A,Raw_Data!A1194)</f>
        <v>1</v>
      </c>
    </row>
    <row r="1195" spans="5:5">
      <c r="E1195">
        <f>COUNTIF(Raw_Data!A:A,Raw_Data!A1195)</f>
        <v>1</v>
      </c>
    </row>
    <row r="1196" spans="5:5">
      <c r="E1196">
        <f>COUNTIF(Raw_Data!A:A,Raw_Data!A1196)</f>
        <v>1</v>
      </c>
    </row>
    <row r="1197" spans="5:5">
      <c r="E1197">
        <f>COUNTIF(Raw_Data!A:A,Raw_Data!A1197)</f>
        <v>1</v>
      </c>
    </row>
    <row r="1198" spans="5:5">
      <c r="E1198">
        <f>COUNTIF(Raw_Data!A:A,Raw_Data!A1198)</f>
        <v>1</v>
      </c>
    </row>
    <row r="1199" spans="5:5">
      <c r="E1199">
        <f>COUNTIF(Raw_Data!A:A,Raw_Data!A1199)</f>
        <v>1</v>
      </c>
    </row>
    <row r="1200" spans="5:5">
      <c r="E1200">
        <f>COUNTIF(Raw_Data!A:A,Raw_Data!A1200)</f>
        <v>1</v>
      </c>
    </row>
    <row r="1201" spans="5:5">
      <c r="E1201">
        <f>COUNTIF(Raw_Data!A:A,Raw_Data!A1201)</f>
        <v>1</v>
      </c>
    </row>
    <row r="1202" spans="5:5">
      <c r="E1202">
        <f>COUNTIF(Raw_Data!A:A,Raw_Data!A1202)</f>
        <v>1</v>
      </c>
    </row>
    <row r="1203" spans="5:5">
      <c r="E1203">
        <f>COUNTIF(Raw_Data!A:A,Raw_Data!A1203)</f>
        <v>1</v>
      </c>
    </row>
    <row r="1204" spans="5:5">
      <c r="E1204">
        <f>COUNTIF(Raw_Data!A:A,Raw_Data!A1204)</f>
        <v>1</v>
      </c>
    </row>
    <row r="1205" spans="5:5">
      <c r="E1205">
        <f>COUNTIF(Raw_Data!A:A,Raw_Data!A1205)</f>
        <v>1</v>
      </c>
    </row>
    <row r="1206" spans="5:5">
      <c r="E1206">
        <f>COUNTIF(Raw_Data!A:A,Raw_Data!A1206)</f>
        <v>1</v>
      </c>
    </row>
    <row r="1207" spans="5:5">
      <c r="E1207">
        <f>COUNTIF(Raw_Data!A:A,Raw_Data!A1207)</f>
        <v>1</v>
      </c>
    </row>
    <row r="1208" spans="5:5">
      <c r="E1208">
        <f>COUNTIF(Raw_Data!A:A,Raw_Data!A1208)</f>
        <v>1</v>
      </c>
    </row>
    <row r="1209" spans="5:5">
      <c r="E1209">
        <f>COUNTIF(Raw_Data!A:A,Raw_Data!A1209)</f>
        <v>1</v>
      </c>
    </row>
    <row r="1210" spans="5:5">
      <c r="E1210">
        <f>COUNTIF(Raw_Data!A:A,Raw_Data!A1210)</f>
        <v>1</v>
      </c>
    </row>
    <row r="1211" spans="5:5">
      <c r="E1211">
        <f>COUNTIF(Raw_Data!A:A,Raw_Data!A1211)</f>
        <v>2</v>
      </c>
    </row>
    <row r="1212" spans="5:5">
      <c r="E1212">
        <f>COUNTIF(Raw_Data!A:A,Raw_Data!A1212)</f>
        <v>1</v>
      </c>
    </row>
    <row r="1213" spans="5:5">
      <c r="E1213">
        <f>COUNTIF(Raw_Data!A:A,Raw_Data!A1213)</f>
        <v>1</v>
      </c>
    </row>
    <row r="1214" spans="5:5">
      <c r="E1214">
        <f>COUNTIF(Raw_Data!A:A,Raw_Data!A1214)</f>
        <v>1</v>
      </c>
    </row>
    <row r="1215" spans="5:5">
      <c r="E1215">
        <f>COUNTIF(Raw_Data!A:A,Raw_Data!A1215)</f>
        <v>1</v>
      </c>
    </row>
    <row r="1216" spans="5:5">
      <c r="E1216">
        <f>COUNTIF(Raw_Data!A:A,Raw_Data!A1216)</f>
        <v>1</v>
      </c>
    </row>
    <row r="1217" spans="5:5">
      <c r="E1217">
        <f>COUNTIF(Raw_Data!A:A,Raw_Data!A1217)</f>
        <v>1</v>
      </c>
    </row>
    <row r="1218" spans="5:5">
      <c r="E1218">
        <f>COUNTIF(Raw_Data!A:A,Raw_Data!A1218)</f>
        <v>1</v>
      </c>
    </row>
    <row r="1219" spans="5:5">
      <c r="E1219">
        <f>COUNTIF(Raw_Data!A:A,Raw_Data!A1219)</f>
        <v>1</v>
      </c>
    </row>
    <row r="1220" spans="5:5">
      <c r="E1220">
        <f>COUNTIF(Raw_Data!A:A,Raw_Data!A1220)</f>
        <v>1</v>
      </c>
    </row>
    <row r="1221" spans="5:5">
      <c r="E1221">
        <f>COUNTIF(Raw_Data!A:A,Raw_Data!A1221)</f>
        <v>1</v>
      </c>
    </row>
    <row r="1222" spans="5:5">
      <c r="E1222">
        <f>COUNTIF(Raw_Data!A:A,Raw_Data!A1222)</f>
        <v>1</v>
      </c>
    </row>
    <row r="1223" spans="5:5">
      <c r="E1223">
        <f>COUNTIF(Raw_Data!A:A,Raw_Data!A1223)</f>
        <v>1</v>
      </c>
    </row>
    <row r="1224" spans="5:5">
      <c r="E1224">
        <f>COUNTIF(Raw_Data!A:A,Raw_Data!A1224)</f>
        <v>1</v>
      </c>
    </row>
    <row r="1225" spans="5:5">
      <c r="E1225">
        <f>COUNTIF(Raw_Data!A:A,Raw_Data!A1225)</f>
        <v>1</v>
      </c>
    </row>
    <row r="1226" spans="5:5">
      <c r="E1226">
        <f>COUNTIF(Raw_Data!A:A,Raw_Data!A1226)</f>
        <v>1</v>
      </c>
    </row>
    <row r="1227" spans="5:5">
      <c r="E1227">
        <f>COUNTIF(Raw_Data!A:A,Raw_Data!A1227)</f>
        <v>1</v>
      </c>
    </row>
    <row r="1228" spans="5:5">
      <c r="E1228">
        <f>COUNTIF(Raw_Data!A:A,Raw_Data!A1228)</f>
        <v>1</v>
      </c>
    </row>
    <row r="1229" spans="5:5">
      <c r="E1229">
        <f>COUNTIF(Raw_Data!A:A,Raw_Data!A1229)</f>
        <v>1</v>
      </c>
    </row>
    <row r="1230" spans="5:5">
      <c r="E1230">
        <f>COUNTIF(Raw_Data!A:A,Raw_Data!A1230)</f>
        <v>1</v>
      </c>
    </row>
    <row r="1231" spans="5:5">
      <c r="E1231">
        <f>COUNTIF(Raw_Data!A:A,Raw_Data!A1231)</f>
        <v>1</v>
      </c>
    </row>
    <row r="1232" spans="5:5">
      <c r="E1232">
        <f>COUNTIF(Raw_Data!A:A,Raw_Data!A1232)</f>
        <v>1</v>
      </c>
    </row>
    <row r="1233" spans="5:5">
      <c r="E1233">
        <f>COUNTIF(Raw_Data!A:A,Raw_Data!A1233)</f>
        <v>2</v>
      </c>
    </row>
    <row r="1234" spans="5:5">
      <c r="E1234">
        <f>COUNTIF(Raw_Data!A:A,Raw_Data!A1234)</f>
        <v>1</v>
      </c>
    </row>
    <row r="1235" spans="5:5">
      <c r="E1235">
        <f>COUNTIF(Raw_Data!A:A,Raw_Data!A1235)</f>
        <v>1</v>
      </c>
    </row>
    <row r="1236" spans="5:5">
      <c r="E1236">
        <f>COUNTIF(Raw_Data!A:A,Raw_Data!A1236)</f>
        <v>1</v>
      </c>
    </row>
    <row r="1237" spans="5:5">
      <c r="E1237">
        <f>COUNTIF(Raw_Data!A:A,Raw_Data!A1237)</f>
        <v>1</v>
      </c>
    </row>
    <row r="1238" spans="5:5">
      <c r="E1238">
        <f>COUNTIF(Raw_Data!A:A,Raw_Data!A1238)</f>
        <v>1</v>
      </c>
    </row>
    <row r="1239" spans="5:5">
      <c r="E1239">
        <f>COUNTIF(Raw_Data!A:A,Raw_Data!A1239)</f>
        <v>1</v>
      </c>
    </row>
    <row r="1240" spans="5:5">
      <c r="E1240">
        <f>COUNTIF(Raw_Data!A:A,Raw_Data!A1240)</f>
        <v>1</v>
      </c>
    </row>
    <row r="1241" spans="5:5">
      <c r="E1241">
        <f>COUNTIF(Raw_Data!A:A,Raw_Data!A1241)</f>
        <v>1</v>
      </c>
    </row>
    <row r="1242" spans="5:5">
      <c r="E1242">
        <f>COUNTIF(Raw_Data!A:A,Raw_Data!A1242)</f>
        <v>1</v>
      </c>
    </row>
    <row r="1243" spans="5:5">
      <c r="E1243">
        <f>COUNTIF(Raw_Data!A:A,Raw_Data!A1243)</f>
        <v>1</v>
      </c>
    </row>
    <row r="1244" spans="5:5">
      <c r="E1244">
        <f>COUNTIF(Raw_Data!A:A,Raw_Data!A1244)</f>
        <v>1</v>
      </c>
    </row>
    <row r="1245" spans="5:5">
      <c r="E1245">
        <f>COUNTIF(Raw_Data!A:A,Raw_Data!A1245)</f>
        <v>1</v>
      </c>
    </row>
    <row r="1246" spans="5:5">
      <c r="E1246">
        <f>COUNTIF(Raw_Data!A:A,Raw_Data!A1246)</f>
        <v>1</v>
      </c>
    </row>
    <row r="1247" spans="5:5">
      <c r="E1247">
        <f>COUNTIF(Raw_Data!A:A,Raw_Data!A1247)</f>
        <v>1</v>
      </c>
    </row>
    <row r="1248" spans="5:5">
      <c r="E1248">
        <f>COUNTIF(Raw_Data!A:A,Raw_Data!A1248)</f>
        <v>1</v>
      </c>
    </row>
    <row r="1249" spans="5:5">
      <c r="E1249">
        <f>COUNTIF(Raw_Data!A:A,Raw_Data!A1249)</f>
        <v>1</v>
      </c>
    </row>
    <row r="1250" spans="5:5">
      <c r="E1250">
        <f>COUNTIF(Raw_Data!A:A,Raw_Data!A1250)</f>
        <v>1</v>
      </c>
    </row>
    <row r="1251" spans="5:5">
      <c r="E1251">
        <f>COUNTIF(Raw_Data!A:A,Raw_Data!A1251)</f>
        <v>1</v>
      </c>
    </row>
    <row r="1252" spans="5:5">
      <c r="E1252">
        <f>COUNTIF(Raw_Data!A:A,Raw_Data!A1252)</f>
        <v>1</v>
      </c>
    </row>
    <row r="1253" spans="5:5">
      <c r="E1253">
        <f>COUNTIF(Raw_Data!A:A,Raw_Data!A1253)</f>
        <v>1</v>
      </c>
    </row>
    <row r="1254" spans="5:5">
      <c r="E1254">
        <f>COUNTIF(Raw_Data!A:A,Raw_Data!A1254)</f>
        <v>1</v>
      </c>
    </row>
    <row r="1255" spans="5:5">
      <c r="E1255">
        <f>COUNTIF(Raw_Data!A:A,Raw_Data!A1255)</f>
        <v>1</v>
      </c>
    </row>
    <row r="1256" spans="5:5">
      <c r="E1256">
        <f>COUNTIF(Raw_Data!A:A,Raw_Data!A1256)</f>
        <v>1</v>
      </c>
    </row>
    <row r="1257" spans="5:5">
      <c r="E1257">
        <f>COUNTIF(Raw_Data!A:A,Raw_Data!A1257)</f>
        <v>1</v>
      </c>
    </row>
    <row r="1258" spans="5:5">
      <c r="E1258">
        <f>COUNTIF(Raw_Data!A:A,Raw_Data!A1258)</f>
        <v>1</v>
      </c>
    </row>
    <row r="1259" spans="5:5">
      <c r="E1259">
        <f>COUNTIF(Raw_Data!A:A,Raw_Data!A1259)</f>
        <v>1</v>
      </c>
    </row>
    <row r="1260" spans="5:5">
      <c r="E1260">
        <f>COUNTIF(Raw_Data!A:A,Raw_Data!A1260)</f>
        <v>1</v>
      </c>
    </row>
    <row r="1261" spans="5:5">
      <c r="E1261">
        <f>COUNTIF(Raw_Data!A:A,Raw_Data!A1261)</f>
        <v>1</v>
      </c>
    </row>
    <row r="1262" spans="5:5">
      <c r="E1262">
        <f>COUNTIF(Raw_Data!A:A,Raw_Data!A1262)</f>
        <v>1</v>
      </c>
    </row>
    <row r="1263" spans="5:5">
      <c r="E1263">
        <f>COUNTIF(Raw_Data!A:A,Raw_Data!A1263)</f>
        <v>1</v>
      </c>
    </row>
    <row r="1264" spans="5:5">
      <c r="E1264">
        <f>COUNTIF(Raw_Data!A:A,Raw_Data!A1264)</f>
        <v>1</v>
      </c>
    </row>
    <row r="1265" spans="5:5">
      <c r="E1265">
        <f>COUNTIF(Raw_Data!A:A,Raw_Data!A1265)</f>
        <v>1</v>
      </c>
    </row>
    <row r="1266" spans="5:5">
      <c r="E1266">
        <f>COUNTIF(Raw_Data!A:A,Raw_Data!A1266)</f>
        <v>1</v>
      </c>
    </row>
    <row r="1267" spans="5:5">
      <c r="E1267">
        <f>COUNTIF(Raw_Data!A:A,Raw_Data!A1267)</f>
        <v>1</v>
      </c>
    </row>
    <row r="1268" spans="5:5">
      <c r="E1268">
        <f>COUNTIF(Raw_Data!A:A,Raw_Data!A1268)</f>
        <v>1</v>
      </c>
    </row>
    <row r="1269" spans="5:5">
      <c r="E1269">
        <f>COUNTIF(Raw_Data!A:A,Raw_Data!A1269)</f>
        <v>1</v>
      </c>
    </row>
    <row r="1270" spans="5:5">
      <c r="E1270">
        <f>COUNTIF(Raw_Data!A:A,Raw_Data!A1270)</f>
        <v>1</v>
      </c>
    </row>
    <row r="1271" spans="5:5">
      <c r="E1271">
        <f>COUNTIF(Raw_Data!A:A,Raw_Data!A1271)</f>
        <v>1</v>
      </c>
    </row>
    <row r="1272" spans="5:5">
      <c r="E1272">
        <f>COUNTIF(Raw_Data!A:A,Raw_Data!A1272)</f>
        <v>1</v>
      </c>
    </row>
    <row r="1273" spans="5:5">
      <c r="E1273">
        <f>COUNTIF(Raw_Data!A:A,Raw_Data!A1273)</f>
        <v>1</v>
      </c>
    </row>
    <row r="1274" spans="5:5">
      <c r="E1274">
        <f>COUNTIF(Raw_Data!A:A,Raw_Data!A1274)</f>
        <v>1</v>
      </c>
    </row>
    <row r="1275" spans="5:5">
      <c r="E1275">
        <f>COUNTIF(Raw_Data!A:A,Raw_Data!A1275)</f>
        <v>1</v>
      </c>
    </row>
    <row r="1276" spans="5:5">
      <c r="E1276">
        <f>COUNTIF(Raw_Data!A:A,Raw_Data!A1276)</f>
        <v>1</v>
      </c>
    </row>
    <row r="1277" spans="5:5">
      <c r="E1277">
        <f>COUNTIF(Raw_Data!A:A,Raw_Data!A1277)</f>
        <v>1</v>
      </c>
    </row>
    <row r="1278" spans="5:5">
      <c r="E1278">
        <f>COUNTIF(Raw_Data!A:A,Raw_Data!A1278)</f>
        <v>1</v>
      </c>
    </row>
    <row r="1279" spans="5:5">
      <c r="E1279">
        <f>COUNTIF(Raw_Data!A:A,Raw_Data!A1279)</f>
        <v>1</v>
      </c>
    </row>
    <row r="1280" spans="5:5">
      <c r="E1280">
        <f>COUNTIF(Raw_Data!A:A,Raw_Data!A1280)</f>
        <v>1</v>
      </c>
    </row>
    <row r="1281" spans="5:5">
      <c r="E1281">
        <f>COUNTIF(Raw_Data!A:A,Raw_Data!A1281)</f>
        <v>1</v>
      </c>
    </row>
    <row r="1282" spans="5:5">
      <c r="E1282">
        <f>COUNTIF(Raw_Data!A:A,Raw_Data!A1282)</f>
        <v>1</v>
      </c>
    </row>
    <row r="1283" spans="5:5">
      <c r="E1283">
        <f>COUNTIF(Raw_Data!A:A,Raw_Data!A1283)</f>
        <v>1</v>
      </c>
    </row>
    <row r="1284" spans="5:5">
      <c r="E1284">
        <f>COUNTIF(Raw_Data!A:A,Raw_Data!A1284)</f>
        <v>1</v>
      </c>
    </row>
    <row r="1285" spans="5:5">
      <c r="E1285">
        <f>COUNTIF(Raw_Data!A:A,Raw_Data!A1285)</f>
        <v>1</v>
      </c>
    </row>
    <row r="1286" spans="5:5">
      <c r="E1286">
        <f>COUNTIF(Raw_Data!A:A,Raw_Data!A1286)</f>
        <v>1</v>
      </c>
    </row>
    <row r="1287" spans="5:5">
      <c r="E1287">
        <f>COUNTIF(Raw_Data!A:A,Raw_Data!A1287)</f>
        <v>1</v>
      </c>
    </row>
    <row r="1288" spans="5:5">
      <c r="E1288">
        <f>COUNTIF(Raw_Data!A:A,Raw_Data!A1288)</f>
        <v>1</v>
      </c>
    </row>
    <row r="1289" spans="5:5">
      <c r="E1289">
        <f>COUNTIF(Raw_Data!A:A,Raw_Data!A1289)</f>
        <v>1</v>
      </c>
    </row>
    <row r="1290" spans="5:5">
      <c r="E1290">
        <f>COUNTIF(Raw_Data!A:A,Raw_Data!A1290)</f>
        <v>1</v>
      </c>
    </row>
    <row r="1291" spans="5:5">
      <c r="E1291">
        <f>COUNTIF(Raw_Data!A:A,Raw_Data!A1291)</f>
        <v>1</v>
      </c>
    </row>
    <row r="1292" spans="5:5">
      <c r="E1292">
        <f>COUNTIF(Raw_Data!A:A,Raw_Data!A1292)</f>
        <v>1</v>
      </c>
    </row>
    <row r="1293" spans="5:5">
      <c r="E1293">
        <f>COUNTIF(Raw_Data!A:A,Raw_Data!A1293)</f>
        <v>1</v>
      </c>
    </row>
    <row r="1294" spans="5:5">
      <c r="E1294">
        <f>COUNTIF(Raw_Data!A:A,Raw_Data!A1294)</f>
        <v>1</v>
      </c>
    </row>
    <row r="1295" spans="5:5">
      <c r="E1295">
        <f>COUNTIF(Raw_Data!A:A,Raw_Data!A1295)</f>
        <v>1</v>
      </c>
    </row>
    <row r="1296" spans="5:5">
      <c r="E1296">
        <f>COUNTIF(Raw_Data!A:A,Raw_Data!A1296)</f>
        <v>1</v>
      </c>
    </row>
    <row r="1297" spans="5:5">
      <c r="E1297">
        <f>COUNTIF(Raw_Data!A:A,Raw_Data!A1297)</f>
        <v>1</v>
      </c>
    </row>
    <row r="1298" spans="5:5">
      <c r="E1298">
        <f>COUNTIF(Raw_Data!A:A,Raw_Data!A1298)</f>
        <v>1</v>
      </c>
    </row>
    <row r="1299" spans="5:5">
      <c r="E1299">
        <f>COUNTIF(Raw_Data!A:A,Raw_Data!A1299)</f>
        <v>1</v>
      </c>
    </row>
    <row r="1300" spans="5:5">
      <c r="E1300">
        <f>COUNTIF(Raw_Data!A:A,Raw_Data!A1300)</f>
        <v>1</v>
      </c>
    </row>
    <row r="1301" spans="5:5">
      <c r="E1301">
        <f>COUNTIF(Raw_Data!A:A,Raw_Data!A1301)</f>
        <v>1</v>
      </c>
    </row>
    <row r="1302" spans="5:5">
      <c r="E1302">
        <f>COUNTIF(Raw_Data!A:A,Raw_Data!A1302)</f>
        <v>1</v>
      </c>
    </row>
    <row r="1303" spans="5:5">
      <c r="E1303">
        <f>COUNTIF(Raw_Data!A:A,Raw_Data!A1303)</f>
        <v>1</v>
      </c>
    </row>
    <row r="1304" spans="5:5">
      <c r="E1304">
        <f>COUNTIF(Raw_Data!A:A,Raw_Data!A1304)</f>
        <v>1</v>
      </c>
    </row>
    <row r="1305" spans="5:5">
      <c r="E1305">
        <f>COUNTIF(Raw_Data!A:A,Raw_Data!A1305)</f>
        <v>1</v>
      </c>
    </row>
    <row r="1306" spans="5:5">
      <c r="E1306">
        <f>COUNTIF(Raw_Data!A:A,Raw_Data!A1306)</f>
        <v>1</v>
      </c>
    </row>
    <row r="1307" spans="5:5">
      <c r="E1307">
        <f>COUNTIF(Raw_Data!A:A,Raw_Data!A1307)</f>
        <v>1</v>
      </c>
    </row>
    <row r="1308" spans="5:5">
      <c r="E1308">
        <f>COUNTIF(Raw_Data!A:A,Raw_Data!A1308)</f>
        <v>1</v>
      </c>
    </row>
    <row r="1309" spans="5:5">
      <c r="E1309">
        <f>COUNTIF(Raw_Data!A:A,Raw_Data!A1309)</f>
        <v>1</v>
      </c>
    </row>
    <row r="1310" spans="5:5">
      <c r="E1310">
        <f>COUNTIF(Raw_Data!A:A,Raw_Data!A1310)</f>
        <v>1</v>
      </c>
    </row>
    <row r="1311" spans="5:5">
      <c r="E1311">
        <f>COUNTIF(Raw_Data!A:A,Raw_Data!A1311)</f>
        <v>1</v>
      </c>
    </row>
    <row r="1312" spans="5:5">
      <c r="E1312">
        <f>COUNTIF(Raw_Data!A:A,Raw_Data!A1312)</f>
        <v>1</v>
      </c>
    </row>
    <row r="1313" spans="5:5">
      <c r="E1313">
        <f>COUNTIF(Raw_Data!A:A,Raw_Data!A1313)</f>
        <v>1</v>
      </c>
    </row>
    <row r="1314" spans="5:5">
      <c r="E1314">
        <f>COUNTIF(Raw_Data!A:A,Raw_Data!A1314)</f>
        <v>1</v>
      </c>
    </row>
    <row r="1315" spans="5:5">
      <c r="E1315">
        <f>COUNTIF(Raw_Data!A:A,Raw_Data!A1315)</f>
        <v>1</v>
      </c>
    </row>
    <row r="1316" spans="5:5">
      <c r="E1316">
        <f>COUNTIF(Raw_Data!A:A,Raw_Data!A1316)</f>
        <v>1</v>
      </c>
    </row>
    <row r="1317" spans="5:5">
      <c r="E1317">
        <f>COUNTIF(Raw_Data!A:A,Raw_Data!A1317)</f>
        <v>1</v>
      </c>
    </row>
    <row r="1318" spans="5:5">
      <c r="E1318">
        <f>COUNTIF(Raw_Data!A:A,Raw_Data!A1318)</f>
        <v>1</v>
      </c>
    </row>
    <row r="1319" spans="5:5">
      <c r="E1319">
        <f>COUNTIF(Raw_Data!A:A,Raw_Data!A1319)</f>
        <v>1</v>
      </c>
    </row>
    <row r="1320" spans="5:5">
      <c r="E1320">
        <f>COUNTIF(Raw_Data!A:A,Raw_Data!A1320)</f>
        <v>1</v>
      </c>
    </row>
    <row r="1321" spans="5:5">
      <c r="E1321">
        <f>COUNTIF(Raw_Data!A:A,Raw_Data!A1321)</f>
        <v>1</v>
      </c>
    </row>
    <row r="1322" spans="5:5">
      <c r="E1322">
        <f>COUNTIF(Raw_Data!A:A,Raw_Data!A1322)</f>
        <v>1</v>
      </c>
    </row>
    <row r="1323" spans="5:5">
      <c r="E1323">
        <f>COUNTIF(Raw_Data!A:A,Raw_Data!A1323)</f>
        <v>1</v>
      </c>
    </row>
    <row r="1324" spans="5:5">
      <c r="E1324">
        <f>COUNTIF(Raw_Data!A:A,Raw_Data!A1324)</f>
        <v>1</v>
      </c>
    </row>
    <row r="1325" spans="5:5">
      <c r="E1325">
        <f>COUNTIF(Raw_Data!A:A,Raw_Data!A1325)</f>
        <v>1</v>
      </c>
    </row>
    <row r="1326" spans="5:5">
      <c r="E1326">
        <f>COUNTIF(Raw_Data!A:A,Raw_Data!A1326)</f>
        <v>1</v>
      </c>
    </row>
    <row r="1327" spans="5:5">
      <c r="E1327">
        <f>COUNTIF(Raw_Data!A:A,Raw_Data!A1327)</f>
        <v>1</v>
      </c>
    </row>
    <row r="1328" spans="5:5">
      <c r="E1328">
        <f>COUNTIF(Raw_Data!A:A,Raw_Data!A1328)</f>
        <v>1</v>
      </c>
    </row>
    <row r="1329" spans="5:5">
      <c r="E1329">
        <f>COUNTIF(Raw_Data!A:A,Raw_Data!A1329)</f>
        <v>1</v>
      </c>
    </row>
    <row r="1330" spans="5:5">
      <c r="E1330">
        <f>COUNTIF(Raw_Data!A:A,Raw_Data!A1330)</f>
        <v>1</v>
      </c>
    </row>
    <row r="1331" spans="5:5">
      <c r="E1331">
        <f>COUNTIF(Raw_Data!A:A,Raw_Data!A1331)</f>
        <v>1</v>
      </c>
    </row>
    <row r="1332" spans="5:5">
      <c r="E1332">
        <f>COUNTIF(Raw_Data!A:A,Raw_Data!A1332)</f>
        <v>1</v>
      </c>
    </row>
    <row r="1333" spans="5:5">
      <c r="E1333">
        <f>COUNTIF(Raw_Data!A:A,Raw_Data!A1333)</f>
        <v>1</v>
      </c>
    </row>
    <row r="1334" spans="5:5">
      <c r="E1334">
        <f>COUNTIF(Raw_Data!A:A,Raw_Data!A1334)</f>
        <v>1</v>
      </c>
    </row>
    <row r="1335" spans="5:5">
      <c r="E1335">
        <f>COUNTIF(Raw_Data!A:A,Raw_Data!A1335)</f>
        <v>1</v>
      </c>
    </row>
    <row r="1336" spans="5:5">
      <c r="E1336">
        <f>COUNTIF(Raw_Data!A:A,Raw_Data!A1336)</f>
        <v>1</v>
      </c>
    </row>
    <row r="1337" spans="5:5">
      <c r="E1337">
        <f>COUNTIF(Raw_Data!A:A,Raw_Data!A1337)</f>
        <v>1</v>
      </c>
    </row>
    <row r="1338" spans="5:5">
      <c r="E1338">
        <f>COUNTIF(Raw_Data!A:A,Raw_Data!A1338)</f>
        <v>1</v>
      </c>
    </row>
    <row r="1339" spans="5:5">
      <c r="E1339">
        <f>COUNTIF(Raw_Data!A:A,Raw_Data!A1339)</f>
        <v>1</v>
      </c>
    </row>
    <row r="1340" spans="5:5">
      <c r="E1340">
        <f>COUNTIF(Raw_Data!A:A,Raw_Data!A1340)</f>
        <v>1</v>
      </c>
    </row>
    <row r="1341" spans="5:5">
      <c r="E1341">
        <f>COUNTIF(Raw_Data!A:A,Raw_Data!A1341)</f>
        <v>1</v>
      </c>
    </row>
    <row r="1342" spans="5:5">
      <c r="E1342">
        <f>COUNTIF(Raw_Data!A:A,Raw_Data!A1342)</f>
        <v>1</v>
      </c>
    </row>
    <row r="1343" spans="5:5">
      <c r="E1343">
        <f>COUNTIF(Raw_Data!A:A,Raw_Data!A1343)</f>
        <v>1</v>
      </c>
    </row>
    <row r="1344" spans="5:5">
      <c r="E1344">
        <f>COUNTIF(Raw_Data!A:A,Raw_Data!A1344)</f>
        <v>1</v>
      </c>
    </row>
    <row r="1345" spans="5:5">
      <c r="E1345">
        <f>COUNTIF(Raw_Data!A:A,Raw_Data!A1345)</f>
        <v>1</v>
      </c>
    </row>
    <row r="1346" spans="5:5">
      <c r="E1346">
        <f>COUNTIF(Raw_Data!A:A,Raw_Data!A1346)</f>
        <v>1</v>
      </c>
    </row>
    <row r="1347" spans="5:5">
      <c r="E1347">
        <f>COUNTIF(Raw_Data!A:A,Raw_Data!A1347)</f>
        <v>1</v>
      </c>
    </row>
    <row r="1348" spans="5:5">
      <c r="E1348">
        <f>COUNTIF(Raw_Data!A:A,Raw_Data!A1348)</f>
        <v>1</v>
      </c>
    </row>
    <row r="1349" spans="5:5">
      <c r="E1349">
        <f>COUNTIF(Raw_Data!A:A,Raw_Data!A1349)</f>
        <v>1</v>
      </c>
    </row>
    <row r="1350" spans="5:5">
      <c r="E1350">
        <f>COUNTIF(Raw_Data!A:A,Raw_Data!A1350)</f>
        <v>1</v>
      </c>
    </row>
    <row r="1351" spans="5:5">
      <c r="E1351">
        <f>COUNTIF(Raw_Data!A:A,Raw_Data!A1351)</f>
        <v>1</v>
      </c>
    </row>
    <row r="1352" spans="5:5">
      <c r="E1352">
        <f>COUNTIF(Raw_Data!A:A,Raw_Data!A1352)</f>
        <v>1</v>
      </c>
    </row>
    <row r="1353" spans="5:5">
      <c r="E1353">
        <f>COUNTIF(Raw_Data!A:A,Raw_Data!A1353)</f>
        <v>1</v>
      </c>
    </row>
    <row r="1354" spans="5:5">
      <c r="E1354">
        <f>COUNTIF(Raw_Data!A:A,Raw_Data!A1354)</f>
        <v>1</v>
      </c>
    </row>
    <row r="1355" spans="5:5">
      <c r="E1355">
        <f>COUNTIF(Raw_Data!A:A,Raw_Data!A1355)</f>
        <v>1</v>
      </c>
    </row>
    <row r="1356" spans="5:5">
      <c r="E1356">
        <f>COUNTIF(Raw_Data!A:A,Raw_Data!A1356)</f>
        <v>1</v>
      </c>
    </row>
    <row r="1357" spans="5:5">
      <c r="E1357">
        <f>COUNTIF(Raw_Data!A:A,Raw_Data!A1357)</f>
        <v>1</v>
      </c>
    </row>
    <row r="1358" spans="5:5">
      <c r="E1358">
        <f>COUNTIF(Raw_Data!A:A,Raw_Data!A1358)</f>
        <v>1</v>
      </c>
    </row>
    <row r="1359" spans="5:5">
      <c r="E1359">
        <f>COUNTIF(Raw_Data!A:A,Raw_Data!A1359)</f>
        <v>1</v>
      </c>
    </row>
    <row r="1360" spans="5:5">
      <c r="E1360">
        <f>COUNTIF(Raw_Data!A:A,Raw_Data!A1360)</f>
        <v>1</v>
      </c>
    </row>
    <row r="1361" spans="5:5">
      <c r="E1361">
        <f>COUNTIF(Raw_Data!A:A,Raw_Data!A1361)</f>
        <v>1</v>
      </c>
    </row>
    <row r="1362" spans="5:5">
      <c r="E1362">
        <f>COUNTIF(Raw_Data!A:A,Raw_Data!A1362)</f>
        <v>1</v>
      </c>
    </row>
    <row r="1363" spans="5:5">
      <c r="E1363">
        <f>COUNTIF(Raw_Data!A:A,Raw_Data!A1363)</f>
        <v>2</v>
      </c>
    </row>
    <row r="1364" spans="5:5">
      <c r="E1364">
        <f>COUNTIF(Raw_Data!A:A,Raw_Data!A1364)</f>
        <v>1</v>
      </c>
    </row>
    <row r="1365" spans="5:5">
      <c r="E1365">
        <f>COUNTIF(Raw_Data!A:A,Raw_Data!A1365)</f>
        <v>1</v>
      </c>
    </row>
    <row r="1366" spans="5:5">
      <c r="E1366">
        <f>COUNTIF(Raw_Data!A:A,Raw_Data!A1366)</f>
        <v>1</v>
      </c>
    </row>
    <row r="1367" spans="5:5">
      <c r="E1367">
        <f>COUNTIF(Raw_Data!A:A,Raw_Data!A1367)</f>
        <v>1</v>
      </c>
    </row>
    <row r="1368" spans="5:5">
      <c r="E1368">
        <f>COUNTIF(Raw_Data!A:A,Raw_Data!A1368)</f>
        <v>1</v>
      </c>
    </row>
    <row r="1369" spans="5:5">
      <c r="E1369">
        <f>COUNTIF(Raw_Data!A:A,Raw_Data!A1369)</f>
        <v>1</v>
      </c>
    </row>
    <row r="1370" spans="5:5">
      <c r="E1370">
        <f>COUNTIF(Raw_Data!A:A,Raw_Data!A1370)</f>
        <v>1</v>
      </c>
    </row>
    <row r="1371" spans="5:5">
      <c r="E1371">
        <f>COUNTIF(Raw_Data!A:A,Raw_Data!A1371)</f>
        <v>1</v>
      </c>
    </row>
    <row r="1372" spans="5:5">
      <c r="E1372">
        <f>COUNTIF(Raw_Data!A:A,Raw_Data!A1372)</f>
        <v>1</v>
      </c>
    </row>
    <row r="1373" spans="5:5">
      <c r="E1373">
        <f>COUNTIF(Raw_Data!A:A,Raw_Data!A1373)</f>
        <v>1</v>
      </c>
    </row>
    <row r="1374" spans="5:5">
      <c r="E1374">
        <f>COUNTIF(Raw_Data!A:A,Raw_Data!A1374)</f>
        <v>1</v>
      </c>
    </row>
    <row r="1375" spans="5:5">
      <c r="E1375">
        <f>COUNTIF(Raw_Data!A:A,Raw_Data!A1375)</f>
        <v>1</v>
      </c>
    </row>
    <row r="1376" spans="5:5">
      <c r="E1376">
        <f>COUNTIF(Raw_Data!A:A,Raw_Data!A1376)</f>
        <v>1</v>
      </c>
    </row>
    <row r="1377" spans="5:5">
      <c r="E1377">
        <f>COUNTIF(Raw_Data!A:A,Raw_Data!A1377)</f>
        <v>1</v>
      </c>
    </row>
    <row r="1378" spans="5:5">
      <c r="E1378">
        <f>COUNTIF(Raw_Data!A:A,Raw_Data!A1378)</f>
        <v>1</v>
      </c>
    </row>
    <row r="1379" spans="5:5">
      <c r="E1379">
        <f>COUNTIF(Raw_Data!A:A,Raw_Data!A1379)</f>
        <v>1</v>
      </c>
    </row>
    <row r="1380" spans="5:5">
      <c r="E1380">
        <f>COUNTIF(Raw_Data!A:A,Raw_Data!A1380)</f>
        <v>1</v>
      </c>
    </row>
    <row r="1381" spans="5:5">
      <c r="E1381">
        <f>COUNTIF(Raw_Data!A:A,Raw_Data!A1381)</f>
        <v>1</v>
      </c>
    </row>
    <row r="1382" spans="5:5">
      <c r="E1382">
        <f>COUNTIF(Raw_Data!A:A,Raw_Data!A1382)</f>
        <v>1</v>
      </c>
    </row>
    <row r="1383" spans="5:5">
      <c r="E1383">
        <f>COUNTIF(Raw_Data!A:A,Raw_Data!A1383)</f>
        <v>1</v>
      </c>
    </row>
    <row r="1384" spans="5:5">
      <c r="E1384">
        <f>COUNTIF(Raw_Data!A:A,Raw_Data!A1384)</f>
        <v>1</v>
      </c>
    </row>
    <row r="1385" spans="5:5">
      <c r="E1385">
        <f>COUNTIF(Raw_Data!A:A,Raw_Data!A1385)</f>
        <v>1</v>
      </c>
    </row>
    <row r="1386" spans="5:5">
      <c r="E1386">
        <f>COUNTIF(Raw_Data!A:A,Raw_Data!A1386)</f>
        <v>1</v>
      </c>
    </row>
    <row r="1387" spans="5:5">
      <c r="E1387">
        <f>COUNTIF(Raw_Data!A:A,Raw_Data!A1387)</f>
        <v>1</v>
      </c>
    </row>
    <row r="1388" spans="5:5">
      <c r="E1388">
        <f>COUNTIF(Raw_Data!A:A,Raw_Data!A1388)</f>
        <v>1</v>
      </c>
    </row>
    <row r="1389" spans="5:5">
      <c r="E1389">
        <f>COUNTIF(Raw_Data!A:A,Raw_Data!A1389)</f>
        <v>1</v>
      </c>
    </row>
    <row r="1390" spans="5:5">
      <c r="E1390">
        <f>COUNTIF(Raw_Data!A:A,Raw_Data!A1390)</f>
        <v>1</v>
      </c>
    </row>
    <row r="1391" spans="5:5">
      <c r="E1391">
        <f>COUNTIF(Raw_Data!A:A,Raw_Data!A1391)</f>
        <v>1</v>
      </c>
    </row>
    <row r="1392" spans="5:5">
      <c r="E1392">
        <f>COUNTIF(Raw_Data!A:A,Raw_Data!A1392)</f>
        <v>1</v>
      </c>
    </row>
    <row r="1393" spans="5:5">
      <c r="E1393">
        <f>COUNTIF(Raw_Data!A:A,Raw_Data!A1393)</f>
        <v>1</v>
      </c>
    </row>
    <row r="1394" spans="5:5">
      <c r="E1394">
        <f>COUNTIF(Raw_Data!A:A,Raw_Data!A1394)</f>
        <v>1</v>
      </c>
    </row>
    <row r="1395" spans="5:5">
      <c r="E1395">
        <f>COUNTIF(Raw_Data!A:A,Raw_Data!A1395)</f>
        <v>1</v>
      </c>
    </row>
    <row r="1396" spans="5:5">
      <c r="E1396">
        <f>COUNTIF(Raw_Data!A:A,Raw_Data!A1396)</f>
        <v>1</v>
      </c>
    </row>
    <row r="1397" spans="5:5">
      <c r="E1397">
        <f>COUNTIF(Raw_Data!A:A,Raw_Data!A1397)</f>
        <v>1</v>
      </c>
    </row>
    <row r="1398" spans="5:5">
      <c r="E1398">
        <f>COUNTIF(Raw_Data!A:A,Raw_Data!A1398)</f>
        <v>1</v>
      </c>
    </row>
    <row r="1399" spans="5:5">
      <c r="E1399">
        <f>COUNTIF(Raw_Data!A:A,Raw_Data!A1399)</f>
        <v>1</v>
      </c>
    </row>
    <row r="1400" spans="5:5">
      <c r="E1400">
        <f>COUNTIF(Raw_Data!A:A,Raw_Data!A1400)</f>
        <v>1</v>
      </c>
    </row>
    <row r="1401" spans="5:5">
      <c r="E1401">
        <f>COUNTIF(Raw_Data!A:A,Raw_Data!A1401)</f>
        <v>1</v>
      </c>
    </row>
    <row r="1402" spans="5:5">
      <c r="E1402">
        <f>COUNTIF(Raw_Data!A:A,Raw_Data!A1402)</f>
        <v>2</v>
      </c>
    </row>
    <row r="1403" spans="5:5">
      <c r="E1403">
        <f>COUNTIF(Raw_Data!A:A,Raw_Data!A1403)</f>
        <v>2</v>
      </c>
    </row>
    <row r="1404" spans="5:5">
      <c r="E1404">
        <f>COUNTIF(Raw_Data!A:A,Raw_Data!A1404)</f>
        <v>2</v>
      </c>
    </row>
    <row r="1405" spans="5:5">
      <c r="E1405">
        <f>COUNTIF(Raw_Data!A:A,Raw_Data!A1405)</f>
        <v>2</v>
      </c>
    </row>
    <row r="1406" spans="5:5">
      <c r="E1406">
        <f>COUNTIF(Raw_Data!A:A,Raw_Data!A1406)</f>
        <v>2</v>
      </c>
    </row>
    <row r="1407" spans="5:5">
      <c r="E1407">
        <f>COUNTIF(Raw_Data!A:A,Raw_Data!A1407)</f>
        <v>2</v>
      </c>
    </row>
    <row r="1408" spans="5:5">
      <c r="E1408">
        <f>COUNTIF(Raw_Data!A:A,Raw_Data!A1408)</f>
        <v>2</v>
      </c>
    </row>
    <row r="1409" spans="5:5">
      <c r="E1409">
        <f>COUNTIF(Raw_Data!A:A,Raw_Data!A1409)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2707-D0E1-4B1F-9836-A4BD03066815}">
  <dimension ref="A1:C13"/>
  <sheetViews>
    <sheetView workbookViewId="0">
      <selection activeCell="B1" sqref="B1:C13"/>
    </sheetView>
  </sheetViews>
  <sheetFormatPr defaultRowHeight="15"/>
  <cols>
    <col min="1" max="1" width="38.7109375" customWidth="1"/>
    <col min="2" max="2" width="20.85546875" customWidth="1"/>
    <col min="3" max="3" width="14" customWidth="1"/>
  </cols>
  <sheetData>
    <row r="1" spans="1:3" ht="30.75">
      <c r="A1" s="4" t="s">
        <v>1440</v>
      </c>
      <c r="B1" s="4" t="s">
        <v>17</v>
      </c>
      <c r="C1" s="4" t="s">
        <v>723</v>
      </c>
    </row>
    <row r="2" spans="1:3">
      <c r="A2" s="5" t="s">
        <v>1441</v>
      </c>
      <c r="B2" s="9">
        <f>COUNTIF(Raw_Data!C:C,"Control")</f>
        <v>693</v>
      </c>
      <c r="C2" s="9">
        <f>COUNTIF(Raw_Data!C:C,"Treatment")</f>
        <v>715</v>
      </c>
    </row>
    <row r="3" spans="1:3">
      <c r="A3" s="5" t="s">
        <v>1442</v>
      </c>
      <c r="B3" s="8">
        <f>COUNTIFS(Raw_Data!C:C,"Control",Raw_Data!H:H,1)/COUNTIF(Raw_Data!C:C,"Control")</f>
        <v>0.63636363636363635</v>
      </c>
      <c r="C3" s="8">
        <f>COUNTIFS(Raw_Data!C:C,"Treatment",Raw_Data!H:H,1)/COUNTIF(Raw_Data!C:C,"Treatment")</f>
        <v>0.72587412587412592</v>
      </c>
    </row>
    <row r="4" spans="1:3">
      <c r="A4" s="5" t="s">
        <v>1443</v>
      </c>
      <c r="B4" s="8">
        <f>COUNTIFS(Raw_Data!C:C,"Control",Raw_Data!I:I,1)/COUNTIF(Raw_Data!C:C,"Control")</f>
        <v>0.25108225108225107</v>
      </c>
      <c r="C4" s="8">
        <f>COUNTIFS(Raw_Data!C:C,"Treatment",Raw_Data!I:I,1)/COUNTIF(Raw_Data!C:C,"Treatment")</f>
        <v>0.29090909090909089</v>
      </c>
    </row>
    <row r="5" spans="1:3">
      <c r="A5" s="5" t="s">
        <v>1444</v>
      </c>
      <c r="B5" s="8">
        <f>COUNTIFS(Raw_Data!C:C,"Control",Raw_Data!J:J,1)/COUNTIF(Raw_Data!C:C,"Control")</f>
        <v>0.15584415584415584</v>
      </c>
      <c r="C5" s="8">
        <f>COUNTIFS(Raw_Data!C:C,"Treatment",Raw_Data!J:J,1)/COUNTIF(Raw_Data!C:C,"Treatment")</f>
        <v>0.21258741258741259</v>
      </c>
    </row>
    <row r="6" spans="1:3">
      <c r="A6" s="5" t="s">
        <v>1445</v>
      </c>
      <c r="B6" s="8">
        <f>COUNTIFS(Raw_Data!C:C,"Control",Raw_Data!K:K,1)/COUNTIF(Raw_Data!C:C,"Control")</f>
        <v>3.1746031746031744E-2</v>
      </c>
      <c r="C6" s="8">
        <f>COUNTIFS(Raw_Data!C:C,"Treatment",Raw_Data!K:K,1)/COUNTIF(Raw_Data!C:C,"Treatment")</f>
        <v>6.9930069930069935E-2</v>
      </c>
    </row>
    <row r="7" spans="1:3">
      <c r="A7" s="5" t="s">
        <v>1446</v>
      </c>
      <c r="B7" s="10">
        <f>SUMIFS(Raw_Data!L:L,Raw_Data!C:C,"Control")/COUNTIF(Raw_Data!C:C,"Control")</f>
        <v>51.74932178932179</v>
      </c>
      <c r="C7" s="10">
        <f>SUMIFS(Raw_Data!L:L,Raw_Data!C:C,"Treatment")/COUNTIF(Raw_Data!C:C,"Treatment")</f>
        <v>53.875118881118873</v>
      </c>
    </row>
    <row r="8" spans="1:3">
      <c r="A8" s="5" t="s">
        <v>1447</v>
      </c>
      <c r="B8" s="10">
        <f>SUMIFS(Raw_Data!L:L,Raw_Data!C:C,"Control")/COUNTIFS(Raw_Data!C:C,"Control",Raw_Data!K:K,1)</f>
        <v>1630.1036363636363</v>
      </c>
      <c r="C8" s="10">
        <f>SUMIFS(Raw_Data!L:L,Raw_Data!C:C,"Treatment")/COUNTIFS(Raw_Data!C:C,"Treatment",Raw_Data!K:K,1)</f>
        <v>770.41419999999982</v>
      </c>
    </row>
    <row r="9" spans="1:3">
      <c r="A9" s="5" t="s">
        <v>1448</v>
      </c>
      <c r="B9" s="8">
        <f>COUNTIFS(Raw_Data!C:C,"Control",Raw_Data!N:N,1)/COUNTIF(Raw_Data!C:C,"Control")</f>
        <v>0</v>
      </c>
      <c r="C9" s="8">
        <f>COUNTIFS(Raw_Data!C:C,"Treatment",Raw_Data!N:N,1)/COUNTIF(Raw_Data!C:C,"Treatment")</f>
        <v>4.1958041958041958E-3</v>
      </c>
    </row>
    <row r="10" spans="1:3">
      <c r="A10" s="5" t="s">
        <v>1449</v>
      </c>
      <c r="B10" s="8">
        <f>AVERAGEIFS(Raw_Data!M:M,Raw_Data!C:C,"Control")</f>
        <v>0.21933621933621933</v>
      </c>
      <c r="C10" s="8">
        <f>AVERAGEIFS(Raw_Data!M:M,Raw_Data!C:C,"Treatment")</f>
        <v>0.37202797202797205</v>
      </c>
    </row>
    <row r="11" spans="1:3">
      <c r="A11" s="5" t="s">
        <v>1450</v>
      </c>
      <c r="B11" s="10">
        <f>AVERAGEIFS(Raw_Data!P:P,Raw_Data!C:C,"Control")</f>
        <v>57.026200873362491</v>
      </c>
      <c r="C11" s="10">
        <f>AVERAGEIFS(Raw_Data!P:P,Raw_Data!C:C,"Treatment")</f>
        <v>62.931966053748233</v>
      </c>
    </row>
    <row r="12" spans="1:3">
      <c r="A12" s="5" t="s">
        <v>1451</v>
      </c>
      <c r="B12" s="10">
        <f>AVERAGEIFS(Raw_Data!O:O,Raw_Data!C:C,"Control",Raw_Data!K:K,1)</f>
        <v>8.8636363636363633</v>
      </c>
      <c r="C12" s="10">
        <f>AVERAGEIFS(Raw_Data!O:O,Raw_Data!C:C,"Treatment",Raw_Data!K:K,1)</f>
        <v>6.4</v>
      </c>
    </row>
    <row r="13" spans="1:3">
      <c r="A13" s="11" t="s">
        <v>1449</v>
      </c>
      <c r="B13" s="12">
        <f>COUNTIFS(Raw_Data!C:C,"Control",Raw_Data!M:M,"&gt;0")/COUNTIF(Raw_Data!C:C,"Control")</f>
        <v>0.1471861471861472</v>
      </c>
      <c r="C13" s="12">
        <f>COUNTIFS(Raw_Data!C:C,"Treatment",Raw_Data!M:M,"&gt;0")/COUNTIF(Raw_Data!C:C,"Treatment")</f>
        <v>0.24755244755244754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41BC-77D7-421A-A8B8-27472E159D85}">
  <dimension ref="A1:D29"/>
  <sheetViews>
    <sheetView workbookViewId="0">
      <selection activeCell="H25" sqref="H25"/>
    </sheetView>
  </sheetViews>
  <sheetFormatPr defaultRowHeight="15"/>
  <cols>
    <col min="1" max="1" width="24.42578125" customWidth="1"/>
    <col min="2" max="2" width="20.5703125" customWidth="1"/>
    <col min="3" max="3" width="10.28515625" customWidth="1"/>
    <col min="4" max="4" width="11.42578125" customWidth="1"/>
    <col min="5" max="5" width="11.42578125" bestFit="1" customWidth="1"/>
  </cols>
  <sheetData>
    <row r="1" spans="1:4">
      <c r="A1" s="6" t="s">
        <v>1452</v>
      </c>
      <c r="B1" s="6" t="s">
        <v>2</v>
      </c>
    </row>
    <row r="2" spans="1:4">
      <c r="A2" s="6" t="s">
        <v>3</v>
      </c>
      <c r="B2" t="s">
        <v>17</v>
      </c>
      <c r="C2" t="s">
        <v>723</v>
      </c>
      <c r="D2" t="s">
        <v>1439</v>
      </c>
    </row>
    <row r="3" spans="1:4">
      <c r="A3" t="s">
        <v>28</v>
      </c>
      <c r="B3" s="12">
        <v>0.26666666666666666</v>
      </c>
      <c r="C3" s="12">
        <v>0.73333333333333328</v>
      </c>
      <c r="D3" s="12">
        <v>1</v>
      </c>
    </row>
    <row r="4" spans="1:4">
      <c r="A4" t="s">
        <v>18</v>
      </c>
      <c r="B4" s="12">
        <v>0.30434782608695654</v>
      </c>
      <c r="C4" s="12">
        <v>0.69565217391304346</v>
      </c>
      <c r="D4" s="12">
        <v>1</v>
      </c>
    </row>
    <row r="5" spans="1:4">
      <c r="A5" t="s">
        <v>32</v>
      </c>
      <c r="B5" s="12">
        <v>0.3</v>
      </c>
      <c r="C5" s="12">
        <v>0.7</v>
      </c>
      <c r="D5" s="12">
        <v>1</v>
      </c>
    </row>
    <row r="6" spans="1:4">
      <c r="A6" t="s">
        <v>23</v>
      </c>
      <c r="B6" s="12">
        <v>0.35714285714285715</v>
      </c>
      <c r="C6" s="12">
        <v>0.6428571428571429</v>
      </c>
      <c r="D6" s="12">
        <v>1</v>
      </c>
    </row>
    <row r="7" spans="1:4">
      <c r="A7" t="s">
        <v>1439</v>
      </c>
      <c r="B7" s="12">
        <v>0.30555555555555558</v>
      </c>
      <c r="C7" s="12">
        <v>0.69444444444444442</v>
      </c>
      <c r="D7" s="12">
        <v>1</v>
      </c>
    </row>
    <row r="11" spans="1:4">
      <c r="A11" s="6" t="s">
        <v>1452</v>
      </c>
      <c r="B11" s="6" t="s">
        <v>2</v>
      </c>
    </row>
    <row r="12" spans="1:4">
      <c r="A12" s="6" t="s">
        <v>4</v>
      </c>
      <c r="B12" t="s">
        <v>17</v>
      </c>
      <c r="C12" t="s">
        <v>723</v>
      </c>
      <c r="D12" t="s">
        <v>1439</v>
      </c>
    </row>
    <row r="13" spans="1:4">
      <c r="A13" t="s">
        <v>19</v>
      </c>
      <c r="B13" s="12">
        <v>0.39130434782608697</v>
      </c>
      <c r="C13" s="12">
        <v>0.60869565217391308</v>
      </c>
      <c r="D13" s="12">
        <v>1</v>
      </c>
    </row>
    <row r="14" spans="1:4">
      <c r="A14" t="s">
        <v>24</v>
      </c>
      <c r="B14" s="12">
        <v>0.2558139534883721</v>
      </c>
      <c r="C14" s="12">
        <v>0.7441860465116279</v>
      </c>
      <c r="D14" s="12">
        <v>1</v>
      </c>
    </row>
    <row r="15" spans="1:4">
      <c r="A15" t="s">
        <v>34</v>
      </c>
      <c r="B15" s="12">
        <v>0.2</v>
      </c>
      <c r="C15" s="12">
        <v>0.8</v>
      </c>
      <c r="D15" s="12">
        <v>1</v>
      </c>
    </row>
    <row r="16" spans="1:4">
      <c r="A16" t="s">
        <v>1453</v>
      </c>
      <c r="B16" s="12">
        <v>1</v>
      </c>
      <c r="C16" s="12">
        <v>0</v>
      </c>
      <c r="D16" s="12">
        <v>1</v>
      </c>
    </row>
    <row r="17" spans="1:4">
      <c r="A17" t="s">
        <v>1439</v>
      </c>
      <c r="B17" s="12">
        <v>0.30555555555555558</v>
      </c>
      <c r="C17" s="12">
        <v>0.69444444444444442</v>
      </c>
      <c r="D17" s="12">
        <v>1</v>
      </c>
    </row>
    <row r="21" spans="1:4">
      <c r="A21" s="6" t="s">
        <v>1452</v>
      </c>
      <c r="B21" s="6" t="s">
        <v>2</v>
      </c>
    </row>
    <row r="22" spans="1:4">
      <c r="A22" s="6" t="s">
        <v>5</v>
      </c>
      <c r="B22" t="s">
        <v>17</v>
      </c>
      <c r="C22" t="s">
        <v>723</v>
      </c>
      <c r="D22" t="s">
        <v>1439</v>
      </c>
    </row>
    <row r="23" spans="1:4">
      <c r="A23" t="s">
        <v>20</v>
      </c>
      <c r="B23" s="12">
        <v>0.33333333333333331</v>
      </c>
      <c r="C23" s="12">
        <v>0.66666666666666663</v>
      </c>
      <c r="D23" s="12">
        <v>1</v>
      </c>
    </row>
    <row r="24" spans="1:4">
      <c r="A24" t="s">
        <v>25</v>
      </c>
      <c r="B24" s="12">
        <v>0.25</v>
      </c>
      <c r="C24" s="12">
        <v>0.75</v>
      </c>
      <c r="D24" s="12">
        <v>1</v>
      </c>
    </row>
    <row r="25" spans="1:4">
      <c r="A25" t="s">
        <v>29</v>
      </c>
      <c r="B25" s="12">
        <v>0.15384615384615385</v>
      </c>
      <c r="C25" s="12">
        <v>0.84615384615384615</v>
      </c>
      <c r="D25" s="12">
        <v>1</v>
      </c>
    </row>
    <row r="26" spans="1:4">
      <c r="A26" t="s">
        <v>39</v>
      </c>
      <c r="B26" s="12">
        <v>0.16666666666666666</v>
      </c>
      <c r="C26" s="12">
        <v>0.83333333333333337</v>
      </c>
      <c r="D26" s="12">
        <v>1</v>
      </c>
    </row>
    <row r="27" spans="1:4">
      <c r="A27" t="s">
        <v>41</v>
      </c>
      <c r="B27" s="12">
        <v>0.55555555555555558</v>
      </c>
      <c r="C27" s="12">
        <v>0.44444444444444442</v>
      </c>
      <c r="D27" s="12">
        <v>1</v>
      </c>
    </row>
    <row r="28" spans="1:4">
      <c r="A28" t="s">
        <v>1453</v>
      </c>
      <c r="B28" s="12">
        <v>0.33333333333333331</v>
      </c>
      <c r="C28" s="12">
        <v>0.66666666666666663</v>
      </c>
      <c r="D28" s="12">
        <v>1</v>
      </c>
    </row>
    <row r="29" spans="1:4">
      <c r="A29" t="s">
        <v>1439</v>
      </c>
      <c r="B29" s="12">
        <v>0.30555555555555558</v>
      </c>
      <c r="C29" s="12">
        <v>0.69444444444444442</v>
      </c>
      <c r="D29" s="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A2DF-AA63-45DC-9A36-CAE4C80866AA}">
  <dimension ref="A1:E17"/>
  <sheetViews>
    <sheetView tabSelected="1" workbookViewId="0">
      <selection activeCell="D4" sqref="D4"/>
    </sheetView>
  </sheetViews>
  <sheetFormatPr defaultRowHeight="15"/>
  <cols>
    <col min="1" max="1" width="20" customWidth="1"/>
    <col min="2" max="2" width="29.42578125" customWidth="1"/>
    <col min="3" max="3" width="15.28515625" customWidth="1"/>
  </cols>
  <sheetData>
    <row r="1" spans="1:5" ht="15.75">
      <c r="A1" s="17" t="s">
        <v>1454</v>
      </c>
      <c r="B1" s="17"/>
      <c r="C1" s="17"/>
    </row>
    <row r="2" spans="1:5" ht="15.75">
      <c r="A2" s="18"/>
      <c r="B2" s="18"/>
      <c r="C2" s="18"/>
    </row>
    <row r="3" spans="1:5" ht="16.5">
      <c r="A3" s="19" t="s">
        <v>1455</v>
      </c>
      <c r="B3" s="19">
        <v>693</v>
      </c>
      <c r="C3" s="19">
        <v>715</v>
      </c>
    </row>
    <row r="4" spans="1:5" ht="16.5">
      <c r="A4" s="18" t="s">
        <v>1456</v>
      </c>
      <c r="B4" s="18">
        <v>159.01675900000001</v>
      </c>
      <c r="C4" s="18">
        <v>81.413123799999994</v>
      </c>
    </row>
    <row r="5" spans="1:5" ht="32.25">
      <c r="A5" s="18" t="s">
        <v>1457</v>
      </c>
      <c r="B5" s="18">
        <v>238509.734</v>
      </c>
      <c r="C5" s="18">
        <v>52753.375800000002</v>
      </c>
    </row>
    <row r="6" spans="1:5" ht="32.25">
      <c r="A6" s="18" t="s">
        <v>1458</v>
      </c>
      <c r="B6" s="18">
        <v>11</v>
      </c>
      <c r="C6" s="18">
        <v>11</v>
      </c>
    </row>
    <row r="7" spans="1:5" ht="48.75">
      <c r="A7" s="18" t="s">
        <v>1459</v>
      </c>
      <c r="B7" s="18">
        <v>0.99837642999999998</v>
      </c>
      <c r="C7" s="18"/>
    </row>
    <row r="8" spans="1:5" ht="81">
      <c r="A8" s="18" t="s">
        <v>1460</v>
      </c>
      <c r="B8" s="18">
        <v>0</v>
      </c>
      <c r="C8" s="18"/>
    </row>
    <row r="9" spans="1:5" ht="16.5">
      <c r="A9" s="18" t="s">
        <v>1461</v>
      </c>
      <c r="B9" s="18">
        <v>10</v>
      </c>
      <c r="C9" s="18"/>
    </row>
    <row r="10" spans="1:5" ht="16.5">
      <c r="A10" s="18" t="s">
        <v>1462</v>
      </c>
      <c r="B10" s="18">
        <v>0.99223412</v>
      </c>
      <c r="C10" s="18"/>
      <c r="D10" s="14"/>
      <c r="E10" s="14"/>
    </row>
    <row r="11" spans="1:5" ht="32.25">
      <c r="A11" s="18" t="s">
        <v>1463</v>
      </c>
      <c r="B11" s="18">
        <v>0.17224248</v>
      </c>
      <c r="C11" s="18"/>
      <c r="D11" s="15"/>
      <c r="E11" s="15"/>
    </row>
    <row r="12" spans="1:5" ht="32.25">
      <c r="A12" s="18" t="s">
        <v>1464</v>
      </c>
      <c r="B12" s="18">
        <v>1.81246112</v>
      </c>
      <c r="C12" s="18"/>
      <c r="D12" s="15"/>
      <c r="E12" s="15"/>
    </row>
    <row r="13" spans="1:5" ht="32.25">
      <c r="A13" s="18" t="s">
        <v>1465</v>
      </c>
      <c r="B13" s="18">
        <v>0.34448496000000001</v>
      </c>
      <c r="C13" s="18"/>
      <c r="D13" s="16"/>
      <c r="E13" s="16"/>
    </row>
    <row r="14" spans="1:5" ht="32.25">
      <c r="A14" s="20" t="s">
        <v>1466</v>
      </c>
      <c r="B14" s="20">
        <v>2.2281388500000001</v>
      </c>
      <c r="C14" s="20" t="s">
        <v>1455</v>
      </c>
    </row>
    <row r="17" spans="3:3">
      <c r="C17" s="1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2026-06-27T16:10:03Z</dcterms:modified>
  <cp:category/>
  <cp:contentStatus/>
</cp:coreProperties>
</file>