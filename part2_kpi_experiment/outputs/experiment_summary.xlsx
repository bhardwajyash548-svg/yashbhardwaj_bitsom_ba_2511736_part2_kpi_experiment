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9BE751CA-519A-4EBA-9EB6-DA798F947B16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Raw_Data" sheetId="1" r:id="rId1"/>
    <sheet name="Summary_Metrics" sheetId="3" r:id="rId2"/>
    <sheet name="Segment_Analysis" sheetId="4" r:id="rId3"/>
  </sheets>
  <calcPr calcId="191028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3" i="3"/>
  <c r="B13" i="3"/>
  <c r="C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<sst xmlns="http://schemas.openxmlformats.org/spreadsheetml/2006/main" count="8472" uniqueCount="1448">
  <si>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</si>
  <si>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</si>
  <si>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</si>
  <si>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</si>
  <si>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</si>
  <si>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</si>
  <si>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</si>
  <si>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</si>
  <si>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</si>
  <si>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</si>
  <si>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</si>
  <si>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</si>
  <si>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</si>
  <si>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</si>
  <si>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</si>
  <si>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</si>
  <si>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</si>
  <si>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</si>
  <si>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</si>
  <si>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</si>
  <si>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</si>
  <si>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</si>
  <si>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</si>
  <si>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</si>
  <si>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</si>
  <si>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</si>
  <si>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</si>
  <si>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</si>
  <si>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</si>
  <si>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</si>
  <si>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</si>
  <si>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</si>
  <si>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</si>
  <si>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</si>
  <si>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</si>
  <si>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</si>
  <si>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</si>
  <si>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</si>
  <si>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</si>
  <si>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</si>
  <si>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</si>
  <si>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</si>
  <si>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</si>
  <si>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</si>
  <si>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</si>
  <si>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</si>
  <si>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</si>
  <si>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</si>
  <si>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</si>
  <si>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</si>
  <si>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</si>
  <si>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</si>
  <si>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</si>
  <si>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</si>
  <si>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</si>
  <si>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</si>
  <si>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</si>
  <si>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</si>
  <si>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</si>
  <si>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</si>
  <si>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</si>
  <si>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</si>
  <si>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</si>
  <si>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</si>
  <si>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</si>
  <si>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</si>
  <si>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</si>
  <si>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</si>
  <si>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</si>
  <si>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</si>
  <si>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</si>
  <si>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</si>
  <si>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</si>
  <si>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</si>
  <si>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</si>
  <si>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</si>
  <si>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</si>
  <si>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</si>
  <si>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</si>
  <si>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</si>
  <si>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</si>
  <si>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</si>
  <si>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</si>
  <si>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</si>
  <si>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</si>
  <si>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</si>
  <si>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</si>
  <si>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</si>
  <si>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</si>
  <si>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</si>
  <si>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</si>
  <si>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</si>
  <si>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</si>
  <si>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</si>
  <si>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</si>
  <si>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</si>
  <si>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</si>
  <si>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</si>
  <si>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</si>
  <si>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</si>
  <si>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</si>
  <si>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</si>
  <si>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</si>
  <si>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</si>
  <si>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</si>
  <si>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</si>
  <si>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</si>
  <si>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</si>
  <si>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</si>
  <si>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</si>
  <si>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</si>
  <si>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</si>
  <si>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</si>
  <si>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</si>
  <si>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</si>
  <si>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</si>
  <si>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</si>
  <si>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</si>
  <si>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</si>
  <si>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</si>
  <si>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</si>
  <si>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</si>
  <si>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</si>
  <si>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</si>
  <si>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</si>
  <si>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</si>
  <si>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</si>
  <si>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</si>
  <si>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</si>
  <si>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</si>
  <si>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</si>
  <si>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</si>
  <si>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</si>
  <si>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</si>
  <si>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</si>
  <si>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</si>
  <si>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</si>
  <si>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</si>
  <si>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</si>
  <si>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</si>
  <si>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</si>
  <si>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</si>
  <si>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</si>
  <si>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</si>
  <si>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</si>
  <si>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</si>
  <si>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</si>
  <si>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</si>
  <si>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</si>
  <si>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</si>
  <si>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</si>
  <si>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</si>
  <si>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</si>
  <si>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</si>
  <si>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</si>
  <si>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</si>
  <si>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</si>
  <si>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</si>
  <si>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</si>
  <si>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</si>
  <si>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</si>
  <si>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</si>
  <si>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</si>
  <si>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</si>
  <si>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</si>
  <si>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</si>
  <si>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</si>
  <si>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</si>
  <si>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</si>
  <si>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</si>
  <si>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</si>
  <si>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</si>
  <si>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</si>
  <si>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</si>
  <si>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</si>
  <si>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</si>
  <si>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</si>
  <si>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</si>
  <si>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</si>
  <si>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</si>
  <si>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</si>
  <si>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</si>
  <si>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</si>
  <si>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</si>
  <si>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</si>
  <si>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</si>
  <si>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</si>
  <si>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</si>
  <si>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</si>
  <si>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</si>
  <si>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</si>
  <si>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</si>
  <si>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</si>
  <si>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</si>
  <si>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</si>
  <si>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</si>
  <si>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</si>
  <si>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</si>
  <si>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</si>
  <si>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</si>
  <si>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</si>
  <si>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</si>
  <si>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</si>
  <si>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</si>
  <si>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</si>
  <si>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</si>
  <si>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</si>
  <si>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</si>
  <si>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</si>
  <si>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</si>
  <si>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</si>
  <si>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</si>
  <si>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</si>
  <si>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</si>
  <si>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</si>
  <si>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</si>
  <si>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</si>
  <si>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</si>
  <si>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</si>
  <si>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</si>
  <si>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</si>
  <si>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</si>
  <si>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</si>
  <si>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</si>
  <si>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</si>
  <si>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</si>
  <si>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</si>
  <si>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</si>
  <si>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</si>
  <si>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</si>
  <si>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</si>
  <si>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</si>
  <si>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</si>
  <si>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</si>
  <si>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</si>
  <si>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</si>
  <si>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</si>
  <si>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</si>
  <si>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</si>
  <si>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</si>
  <si>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</si>
  <si>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</si>
  <si>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</si>
  <si>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</si>
  <si>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</si>
  <si>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</si>
  <si>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</si>
  <si>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</si>
  <si>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</si>
  <si>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</si>
  <si>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</si>
  <si>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</si>
  <si>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</si>
  <si>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</si>
  <si>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</si>
  <si>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</si>
  <si>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</si>
  <si>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</si>
  <si>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</si>
  <si>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</si>
  <si>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</si>
  <si>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</si>
  <si>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</si>
  <si>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</si>
  <si>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</si>
  <si>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</si>
  <si>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</si>
  <si>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</si>
  <si>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</si>
  <si>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</si>
  <si>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</si>
  <si>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</si>
  <si>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</si>
  <si>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</si>
  <si>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</si>
  <si>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</si>
  <si>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</si>
  <si>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</si>
  <si>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</si>
  <si>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</si>
  <si>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</si>
  <si>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</si>
  <si>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</si>
  <si>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</si>
  <si>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</si>
  <si>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</si>
  <si>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</si>
  <si>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</si>
  <si>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</si>
  <si>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</si>
  <si>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</si>
  <si>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</si>
  <si>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</si>
  <si>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</si>
  <si>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</si>
  <si>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</si>
  <si>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</si>
  <si>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</si>
  <si>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</si>
  <si>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</si>
  <si>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</si>
  <si>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</si>
  <si>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</si>
  <si>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</si>
  <si>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</si>
  <si>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</si>
  <si>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</si>
  <si>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</si>
  <si>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</si>
  <si>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</si>
  <si>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</si>
  <si>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</si>
  <si>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</si>
  <si>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</si>
  <si>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</si>
  <si>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</si>
  <si>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</si>
  <si>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</si>
  <si>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</si>
  <si>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</si>
  <si>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</si>
  <si>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</si>
  <si>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</si>
  <si>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</si>
  <si>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</si>
  <si>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</si>
  <si>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</si>
  <si>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</si>
  <si>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</si>
  <si>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</si>
  <si>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</si>
  <si>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</si>
  <si>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</si>
  <si>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</si>
  <si>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</si>
  <si>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</si>
  <si>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</si>
  <si>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</si>
  <si>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</si>
  <si>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</si>
  <si>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</si>
  <si>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</si>
  <si>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</si>
  <si>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</si>
  <si>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</si>
  <si>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</si>
  <si>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</si>
  <si>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</si>
  <si>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</si>
  <si>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</si>
  <si>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</si>
  <si>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</si>
  <si>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</si>
  <si>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</si>
  <si>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</si>
  <si>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</si>
  <si>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</si>
  <si>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</si>
  <si>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</si>
  <si>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</si>
  <si>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</si>
  <si>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</si>
  <si>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</si>
  <si>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</si>
  <si>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</si>
  <si>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</si>
  <si>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</si>
  <si>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</si>
  <si>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</si>
  <si>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</si>
  <si>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</si>
  <si>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</si>
  <si>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</si>
  <si>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</si>
  <si>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</si>
  <si>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</si>
  <si>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</si>
  <si>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</si>
  <si>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</si>
  <si>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</si>
  <si>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</si>
  <si>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</si>
  <si>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</si>
  <si>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</si>
  <si>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</si>
  <si>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</si>
  <si>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</si>
  <si>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</si>
  <si>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</si>
  <si>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</si>
  <si>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</si>
  <si>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</si>
  <si>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</si>
  <si>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</si>
  <si>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</si>
  <si>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</si>
  <si>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</si>
  <si>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</si>
  <si>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</si>
  <si>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</si>
  <si>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</si>
  <si>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</si>
  <si>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</si>
  <si>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</si>
  <si>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</si>
  <si>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</si>
  <si>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</si>
  <si>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</si>
  <si>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</si>
  <si>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</si>
  <si>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</si>
  <si>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</si>
  <si>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</si>
  <si>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</si>
  <si>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</si>
  <si>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</si>
  <si>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</si>
  <si>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</si>
  <si>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</si>
  <si>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</si>
  <si>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</si>
  <si>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</si>
  <si>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</si>
  <si>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</si>
  <si>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</si>
  <si>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</si>
  <si>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</si>
  <si>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</si>
  <si>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</si>
  <si>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</si>
  <si>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</si>
  <si>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</si>
  <si>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</si>
  <si>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</si>
  <si>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</si>
  <si>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</si>
  <si>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</si>
  <si>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</si>
  <si>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</si>
  <si>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</si>
  <si>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</si>
  <si>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</si>
  <si>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</si>
  <si>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</si>
  <si>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</si>
  <si>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</si>
  <si>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</si>
  <si>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</si>
  <si>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</si>
  <si>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</si>
  <si>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</si>
  <si>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</si>
  <si>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</si>
  <si>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</si>
  <si>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</si>
  <si>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</si>
  <si>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</si>
  <si>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</si>
  <si>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</si>
  <si>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</si>
  <si>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</si>
  <si>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</si>
  <si>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</si>
  <si>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</si>
  <si>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</si>
  <si>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</si>
  <si>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</si>
  <si>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</si>
  <si>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</si>
  <si>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</si>
  <si>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</si>
  <si>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</si>
  <si>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</si>
  <si>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</si>
  <si>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</si>
  <si>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</si>
  <si>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</si>
  <si>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</si>
  <si>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</si>
  <si>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</si>
  <si>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</si>
  <si>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</si>
  <si>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</si>
  <si>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</si>
  <si>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</si>
  <si>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</si>
  <si>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</si>
  <si>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</si>
  <si>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</si>
  <si>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</si>
  <si>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</si>
  <si>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</si>
  <si>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</si>
  <si>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</si>
  <si>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</si>
  <si>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</si>
  <si>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</si>
  <si>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</si>
  <si>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</si>
  <si>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</si>
  <si>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</si>
  <si>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</si>
  <si>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</si>
  <si>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</si>
  <si>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</si>
  <si>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</si>
  <si>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</si>
  <si>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</si>
  <si>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</si>
  <si>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</si>
  <si>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</si>
  <si>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</si>
  <si>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</si>
  <si>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</si>
  <si>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</si>
  <si>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</si>
  <si>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</si>
  <si>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</si>
  <si>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</si>
  <si>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</si>
  <si>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</si>
  <si>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</si>
  <si>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</si>
  <si>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</si>
  <si>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</si>
  <si>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</si>
  <si>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</si>
  <si>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</si>
  <si>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</si>
  <si>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</si>
  <si>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</si>
  <si>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</si>
  <si>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</si>
  <si>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</si>
  <si>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</si>
  <si>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</si>
  <si>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</si>
  <si>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</si>
  <si>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</si>
  <si>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</si>
  <si>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</si>
  <si>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</si>
  <si>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</si>
  <si>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</si>
  <si>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</si>
  <si>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</si>
  <si>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</si>
  <si>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</si>
  <si>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</si>
  <si>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</si>
  <si>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</si>
  <si>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</si>
  <si>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</si>
  <si>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</si>
  <si>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</si>
  <si>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</si>
  <si>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</si>
  <si>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</si>
  <si>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</si>
  <si>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</si>
  <si>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</si>
  <si>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</si>
  <si>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</si>
  <si>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</si>
  <si>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</si>
  <si>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</si>
  <si>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</si>
  <si>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</si>
  <si>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</si>
  <si>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</si>
  <si>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</si>
  <si>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</si>
  <si>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</si>
  <si>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</si>
  <si>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</si>
  <si>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</si>
  <si>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</si>
  <si>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</si>
  <si>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</si>
  <si>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</si>
  <si>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</si>
  <si>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</si>
  <si>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</si>
  <si>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</si>
  <si>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</si>
  <si>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</si>
  <si>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</si>
  <si>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</si>
  <si>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</si>
  <si>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</si>
  <si>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</si>
  <si>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</si>
  <si>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</si>
  <si>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</si>
  <si>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</si>
  <si>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</si>
  <si>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</si>
  <si>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</si>
  <si>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</si>
  <si>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</si>
  <si>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</si>
  <si>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</si>
  <si>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</si>
  <si>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</si>
  <si>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</si>
  <si>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</si>
  <si>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</si>
  <si>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</si>
  <si>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</si>
  <si>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</si>
  <si>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</si>
  <si>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</si>
  <si>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</si>
  <si>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</si>
  <si>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</si>
  <si>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</si>
  <si>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</si>
  <si>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</si>
  <si>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</si>
  <si>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</si>
  <si>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</si>
  <si>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</si>
  <si>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</si>
  <si>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</si>
  <si>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</si>
  <si>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</si>
  <si>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</si>
  <si>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</si>
  <si>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</si>
  <si>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</si>
  <si>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</si>
  <si>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</si>
  <si>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</si>
  <si>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</si>
  <si>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</si>
  <si>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</si>
  <si>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</si>
  <si>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</si>
  <si>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</si>
  <si>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</si>
  <si>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</si>
  <si>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</si>
  <si>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</si>
  <si>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</si>
  <si>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</si>
  <si>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</si>
  <si>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</si>
  <si>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</si>
  <si>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</si>
  <si>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</si>
  <si>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</si>
  <si>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</si>
  <si>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</si>
  <si>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</si>
  <si>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</si>
  <si>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</si>
  <si>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</si>
  <si>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</si>
  <si>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</si>
  <si>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</si>
  <si>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</si>
  <si>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</si>
  <si>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</si>
  <si>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</si>
  <si>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</si>
  <si>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</si>
  <si>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</si>
  <si>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</si>
  <si>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</si>
  <si>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</si>
  <si>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</si>
  <si>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</si>
  <si>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</si>
  <si>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</si>
  <si>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</si>
  <si>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</si>
  <si>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</si>
  <si>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</si>
  <si>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</si>
  <si>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</si>
  <si>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</si>
  <si>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</si>
  <si>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</si>
  <si>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</si>
  <si>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</si>
  <si>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</si>
  <si>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</si>
  <si>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</si>
  <si>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</si>
  <si>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</si>
  <si>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</si>
  <si>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</si>
  <si>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</si>
  <si>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</si>
  <si>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</si>
  <si>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</si>
  <si>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</si>
  <si>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</si>
  <si>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</si>
  <si>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</si>
  <si>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</si>
  <si>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</si>
  <si>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</si>
  <si>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</si>
  <si>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</si>
  <si>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</si>
  <si>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</si>
  <si>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</si>
  <si>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</si>
  <si>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</si>
  <si>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</si>
  <si>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</si>
  <si>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</si>
  <si>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</si>
  <si>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</si>
  <si>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</si>
  <si>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</si>
  <si>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</si>
  <si>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</si>
  <si>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</si>
  <si>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</si>
  <si>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</si>
  <si>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</si>
  <si>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</si>
  <si>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</si>
  <si>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</si>
  <si>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</si>
  <si>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</si>
  <si>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</si>
  <si>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</si>
  <si>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</si>
  <si>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</si>
  <si>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</si>
  <si>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</si>
  <si>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</si>
  <si>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</si>
  <si>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</si>
  <si>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</si>
  <si>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</si>
  <si>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</si>
  <si>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</si>
  <si>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</si>
  <si>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</si>
  <si>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</si>
  <si>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</si>
  <si>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</si>
  <si>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</si>
  <si>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</si>
  <si>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</si>
  <si>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</si>
  <si>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</si>
  <si>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</si>
  <si>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</si>
  <si>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</si>
  <si>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</si>
  <si>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</si>
  <si>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</si>
  <si>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</si>
  <si>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</si>
  <si>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</si>
  <si>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</si>
  <si>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</si>
  <si>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</si>
  <si>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</si>
  <si>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</si>
  <si>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</si>
  <si>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</si>
  <si>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</si>
  <si>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</si>
  <si>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</si>
  <si>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</si>
  <si>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</si>
  <si>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</si>
  <si>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</si>
  <si>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</si>
  <si>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</si>
  <si>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</si>
  <si>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</si>
  <si>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</si>
  <si>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</si>
  <si>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</si>
  <si>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</si>
  <si>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</si>
  <si>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</si>
  <si>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</si>
  <si>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</si>
  <si>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</si>
  <si>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</si>
  <si>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</si>
  <si>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</si>
  <si>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</si>
  <si>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</si>
  <si>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</si>
  <si>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</si>
  <si>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</si>
  <si>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</si>
  <si>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</si>
  <si>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</si>
  <si>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</si>
  <si>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</si>
  <si>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</si>
  <si>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</si>
  <si>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</si>
  <si>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</si>
  <si>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</si>
  <si>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</si>
  <si>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</si>
  <si>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</si>
  <si>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</si>
  <si>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</si>
  <si>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</si>
  <si>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</si>
  <si>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</si>
  <si>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</si>
  <si>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</si>
  <si>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</si>
  <si>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</si>
  <si>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</si>
  <si>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</si>
  <si>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</si>
  <si>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</si>
  <si>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</si>
  <si>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</si>
  <si>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</si>
  <si>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</si>
  <si>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</si>
  <si>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</si>
  <si>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</si>
  <si>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</si>
  <si>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</si>
  <si>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</si>
  <si>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</si>
  <si>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</si>
  <si>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</si>
  <si>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</si>
  <si>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</si>
  <si>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</si>
  <si>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</si>
  <si>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</si>
  <si>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</si>
  <si>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</si>
  <si>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</si>
  <si>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</si>
  <si>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</si>
  <si>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</si>
  <si>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</si>
  <si>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</si>
  <si>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</si>
  <si>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</si>
  <si>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</si>
  <si>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</si>
  <si>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</si>
  <si>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</si>
  <si>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</si>
  <si>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</si>
  <si>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</si>
  <si>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</si>
  <si>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</si>
  <si>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</si>
  <si>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</si>
  <si>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</si>
  <si>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</si>
  <si>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</si>
  <si>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</si>
  <si>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</si>
  <si>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</si>
  <si>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</si>
  <si>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</si>
  <si>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</si>
  <si>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</si>
  <si>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</si>
  <si>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</si>
  <si>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</si>
  <si>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</si>
  <si>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</si>
  <si>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</si>
  <si>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</si>
  <si>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</si>
  <si>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</si>
  <si>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</si>
  <si>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</si>
  <si>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</si>
  <si>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</si>
  <si>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</si>
  <si>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</si>
  <si>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</si>
  <si>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</si>
  <si>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</si>
  <si>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</si>
  <si>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</si>
  <si>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</si>
  <si>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</si>
  <si>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</si>
  <si>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</si>
  <si>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</si>
  <si>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</si>
  <si>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</si>
  <si>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</si>
  <si>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</si>
  <si>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</si>
  <si>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</si>
  <si>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</si>
  <si>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</si>
  <si>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</si>
  <si>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</si>
  <si>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</si>
  <si>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</si>
  <si>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</si>
  <si>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</si>
  <si>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</si>
  <si>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</si>
  <si>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</si>
  <si>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</si>
  <si>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</si>
  <si>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</si>
  <si>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</si>
  <si>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</si>
  <si>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</si>
  <si>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</si>
  <si>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</si>
  <si>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</si>
  <si>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</si>
  <si>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</si>
  <si>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</si>
  <si>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</si>
  <si>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</si>
  <si>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</si>
  <si>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</si>
  <si>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</si>
  <si>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</si>
  <si>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</si>
  <si>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</si>
  <si>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</si>
  <si>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</si>
  <si>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</si>
  <si>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</si>
  <si>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</si>
  <si>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</si>
  <si>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</si>
  <si>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</si>
  <si>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</si>
  <si>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</si>
  <si>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</si>
  <si>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</si>
  <si>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</si>
  <si>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</si>
  <si>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</si>
  <si>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</si>
  <si>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</si>
  <si>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</si>
  <si>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</si>
  <si>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</si>
  <si>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</si>
  <si>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</si>
  <si>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</si>
  <si>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</si>
  <si>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</si>
  <si>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</si>
  <si>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</si>
  <si>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</si>
  <si>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</si>
  <si>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</si>
  <si>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</si>
  <si>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</si>
  <si>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</si>
  <si>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</si>
  <si>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</si>
  <si>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</si>
  <si>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</si>
  <si>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</si>
  <si>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</si>
  <si>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</si>
  <si>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</si>
  <si>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</si>
  <si>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</si>
  <si>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</si>
  <si>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</si>
  <si>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</si>
  <si>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</si>
  <si>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</si>
  <si>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</si>
  <si>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</si>
  <si>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</si>
  <si>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</si>
  <si>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</si>
  <si>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</si>
  <si>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</si>
  <si>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</si>
  <si>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</si>
  <si>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</si>
  <si>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</si>
  <si>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</si>
  <si>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</si>
  <si>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</si>
  <si>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</si>
  <si>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</si>
  <si>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</si>
  <si>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</si>
  <si>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</si>
  <si>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</si>
  <si>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</si>
  <si>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</si>
  <si>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</si>
  <si>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</si>
  <si>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</si>
  <si>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</si>
  <si>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</si>
  <si>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</si>
  <si>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</si>
  <si>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</si>
  <si>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</si>
  <si>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</si>
  <si>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</si>
  <si>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</si>
  <si>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</si>
  <si>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</si>
  <si>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</si>
  <si>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</si>
  <si>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</si>
  <si>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</si>
  <si>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</si>
  <si>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</si>
  <si>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</si>
  <si>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</si>
  <si>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</si>
  <si>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</si>
  <si>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</si>
  <si>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</si>
  <si>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</si>
  <si>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</si>
  <si>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</si>
  <si>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</si>
  <si>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</si>
  <si>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</si>
  <si>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</si>
  <si>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</si>
  <si>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</si>
  <si>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</si>
  <si>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</si>
  <si>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</si>
  <si>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</si>
  <si>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</si>
  <si>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</si>
  <si>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</si>
  <si>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</si>
  <si>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</si>
  <si>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</si>
  <si>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</si>
  <si>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</si>
  <si>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</si>
  <si>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</si>
  <si>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</si>
  <si>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</si>
  <si>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</si>
  <si>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</si>
  <si>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</si>
  <si>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</si>
  <si>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</si>
  <si>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</si>
  <si>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</si>
  <si>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</si>
  <si>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</si>
  <si>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</si>
  <si>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</si>
  <si>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</si>
  <si>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</si>
  <si>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</si>
  <si>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</si>
  <si>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</si>
  <si>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</si>
  <si>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</si>
  <si>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</si>
  <si>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</si>
  <si>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</si>
  <si>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</si>
  <si>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</si>
  <si>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</si>
  <si>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</si>
  <si>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</si>
  <si>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</si>
  <si>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</si>
  <si>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</si>
  <si>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</si>
  <si>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</si>
  <si>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</si>
  <si>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</si>
  <si>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</si>
  <si>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</si>
  <si>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</si>
  <si>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</si>
  <si>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</si>
  <si>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</si>
  <si>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</si>
  <si>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</si>
  <si>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</si>
  <si>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</si>
  <si>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</si>
  <si>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</si>
  <si>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</si>
  <si>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</si>
  <si>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</si>
  <si>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</si>
  <si>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</si>
  <si>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</si>
  <si>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</si>
  <si>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</si>
  <si>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</si>
  <si>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</si>
  <si>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</si>
  <si>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</si>
  <si>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</si>
  <si>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</si>
  <si>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</si>
  <si>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</si>
  <si>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</si>
  <si>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</si>
  <si>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</si>
  <si>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</si>
  <si>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</si>
  <si>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</si>
  <si>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</si>
  <si>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</si>
  <si>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</si>
  <si>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</si>
  <si>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</si>
  <si>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</si>
  <si>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</si>
  <si>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</si>
  <si>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</si>
  <si>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</si>
  <si>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</si>
  <si>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</si>
  <si>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</si>
  <si>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</si>
  <si>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</si>
  <si>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</si>
  <si>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</si>
  <si>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</si>
  <si>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</si>
  <si>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</si>
  <si>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</si>
  <si>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</si>
  <si>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</si>
  <si>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</si>
  <si>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</si>
  <si>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</si>
  <si>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</si>
  <si>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</si>
  <si>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</si>
  <si>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</si>
  <si>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</si>
  <si>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</si>
  <si>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</si>
  <si>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</si>
  <si>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</si>
  <si>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</si>
  <si>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</si>
  <si>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</si>
  <si>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</si>
  <si>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</si>
  <si>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</si>
  <si>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</si>
  <si>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</si>
  <si>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</si>
  <si>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</si>
  <si>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</si>
  <si>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</si>
  <si>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</si>
  <si>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</si>
  <si>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</si>
  <si>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</si>
  <si>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</si>
  <si>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</si>
  <si>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</si>
  <si>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</si>
  <si>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</si>
  <si>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</si>
  <si>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</si>
  <si>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</si>
  <si>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</si>
  <si>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</si>
  <si>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</si>
  <si>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</si>
  <si>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</si>
  <si>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</si>
  <si>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</si>
  <si>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</si>
  <si>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</si>
  <si>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</si>
  <si>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</si>
  <si>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</si>
  <si>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</si>
  <si>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</si>
  <si>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</si>
  <si>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</si>
  <si>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</si>
  <si>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</si>
  <si>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</si>
  <si>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</si>
  <si>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</si>
  <si>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</si>
  <si>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</si>
  <si>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</si>
  <si>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</si>
  <si>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</si>
  <si>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</si>
  <si>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</si>
  <si>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</si>
  <si>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</si>
  <si>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</si>
  <si>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</si>
  <si>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</si>
  <si>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</si>
  <si>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</si>
  <si>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</si>
  <si>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</si>
  <si>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</si>
  <si>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</si>
  <si>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</si>
  <si>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</si>
  <si>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</si>
  <si>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</si>
  <si>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</si>
  <si>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</si>
  <si>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</si>
  <si>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</si>
  <si>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</si>
  <si>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</si>
  <si>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</si>
  <si>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</si>
  <si>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</si>
  <si>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</si>
  <si>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</si>
  <si>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</si>
  <si>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</si>
  <si>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</si>
  <si>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</si>
  <si>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</si>
  <si>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</si>
  <si>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</si>
  <si>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</si>
  <si>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</si>
  <si>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</si>
  <si>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</si>
  <si>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</si>
  <si>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</si>
  <si>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</si>
  <si>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</si>
  <si>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</si>
  <si>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</si>
  <si>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</si>
  <si>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</si>
  <si>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</si>
  <si>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</si>
  <si>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</si>
  <si>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</si>
  <si>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</si>
  <si>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</si>
  <si>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</si>
  <si>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</si>
  <si>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</si>
  <si>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</si>
  <si>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</si>
  <si>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</si>
  <si>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</si>
  <si>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</si>
  <si>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</si>
  <si>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</si>
  <si>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</si>
  <si>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</si>
  <si>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</si>
  <si>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</si>
  <si>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</si>
  <si>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</si>
  <si>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</si>
  <si>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</si>
  <si>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</si>
  <si>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</si>
  <si>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</si>
  <si>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</si>
  <si>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</si>
  <si>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</si>
  <si>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</si>
  <si>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</si>
  <si>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</si>
  <si>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</si>
  <si>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</si>
  <si>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</si>
  <si>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</si>
  <si>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</si>
  <si>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</si>
  <si>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</si>
  <si>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</si>
  <si>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</si>
  <si>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</si>
  <si>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</si>
  <si>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</si>
  <si>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</si>
  <si>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</si>
  <si>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</si>
  <si>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</si>
  <si>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</si>
  <si>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</si>
  <si>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</si>
  <si>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</si>
  <si>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</si>
  <si>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</si>
  <si>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</si>
  <si>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</si>
  <si>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</si>
  <si>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</si>
  <si>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</si>
  <si>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</si>
  <si>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</si>
  <si>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</si>
  <si>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</si>
  <si>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</si>
  <si>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</si>
  <si>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</si>
  <si>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</si>
  <si>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</si>
  <si>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</si>
  <si>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</si>
  <si>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</si>
  <si>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</si>
  <si>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</si>
  <si>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</si>
  <si>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</si>
  <si>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</si>
  <si>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</si>
  <si>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</si>
  <si>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</si>
  <si>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</si>
  <si>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</si>
  <si>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</si>
  <si>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</si>
  <si>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</si>
  <si>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</si>
  <si>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</si>
  <si>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</si>
  <si>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</si>
  <si>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</si>
  <si>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</si>
  <si>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</si>
  <si>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</si>
  <si>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</si>
  <si>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</si>
  <si>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</si>
  <si>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</si>
  <si>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</si>
  <si>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</si>
  <si>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</si>
  <si>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</si>
  <si>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</si>
  <si>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</si>
  <si>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</si>
  <si>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</si>
  <si>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</si>
  <si>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</si>
  <si>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</si>
  <si>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</si>
  <si>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</si>
  <si>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</si>
  <si>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</si>
  <si>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</si>
  <si>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</si>
  <si>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</si>
  <si>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</si>
  <si>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</si>
  <si>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</si>
  <si>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</si>
  <si>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</si>
  <si>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</si>
  <si>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</si>
  <si>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</si>
  <si>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</si>
  <si>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</si>
  <si>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</si>
  <si>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</si>
  <si>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</si>
  <si>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</si>
  <si>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</si>
  <si>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</si>
  <si>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</si>
  <si>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</si>
  <si>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</si>
  <si>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</si>
  <si>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</si>
  <si>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</si>
  <si>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</si>
  <si>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</si>
  <si>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</si>
  <si>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</si>
  <si>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</si>
  <si>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</si>
  <si>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</si>
  <si>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</si>
  <si>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</si>
  <si>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</si>
  <si>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</si>
  <si>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</si>
  <si>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</si>
  <si>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</si>
  <si>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</si>
  <si>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</si>
  <si>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</si>
  <si>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</si>
  <si>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</si>
  <si>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</si>
  <si>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</si>
  <si>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</si>
  <si>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</si>
  <si>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</si>
  <si>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</si>
  <si>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</si>
  <si>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</si>
  <si>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</si>
  <si>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</si>
  <si>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</si>
  <si>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</si>
  <si>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</si>
  <si>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</si>
  <si>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</si>
  <si>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</si>
  <si>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</si>
  <si>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</si>
  <si>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</si>
  <si>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</si>
  <si>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</si>
  <si>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</si>
  <si>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</si>
  <si>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</si>
  <si>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</si>
  <si>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</si>
  <si>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</si>
  <si>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</si>
  <si>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</si>
  <si>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</si>
  <si>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</si>
  <si>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</si>
  <si>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</si>
  <si>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</si>
  <si>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</si>
  <si>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</si>
  <si>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</si>
  <si>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Sum of converted_to_paid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</si>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</sst>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  <charset val="1"/>
    </font>
    <font>
      <sz val="11"/>
      <name val="Carlito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pivotButton="1"/>
    <xf numFmtId="10" fontId="4" fillId="0" borderId="0" xfId="0" applyNumberFormat="1" applyFont="1" applyAlignment="1">
      <alignment wrapText="1"/>
    </xf>
    <xf numFmtId="0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0" fontId="3" fillId="0" borderId="0" xfId="0" applyFont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0.694342824077" createdVersion="8" refreshedVersion="8" minRefreshableVersion="3" recordCount="1408" xr:uid="{79A4CD8D-B7C9-4F5A-8169-DC04E4827DBD}">
  <cacheSource type="worksheet">
    <worksheetSource ref="A1:P1409" sheet="Raw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x v="0"/>
    <x v="0"/>
    <s v="Basic"/>
    <n v="0"/>
    <n v="0"/>
    <n v="0"/>
    <n v="0"/>
    <n v="0"/>
    <n v="0"/>
    <n v="0"/>
    <m/>
    <n v="45.7"/>
  </r>
  <r>
    <x v="1"/>
    <d v="2025-03-08T00:00:00"/>
    <x v="0"/>
    <x v="1"/>
    <x v="1"/>
    <x v="1"/>
    <s v="Free"/>
    <n v="1"/>
    <n v="0"/>
    <n v="0"/>
    <n v="0"/>
    <n v="0"/>
    <n v="0"/>
    <n v="0"/>
    <m/>
    <n v="48.6"/>
  </r>
  <r>
    <x v="2"/>
    <d v="2025-04-24T00:00:00"/>
    <x v="0"/>
    <x v="2"/>
    <x v="1"/>
    <x v="2"/>
    <s v="Premium"/>
    <n v="1"/>
    <n v="0"/>
    <n v="0"/>
    <n v="0"/>
    <n v="0"/>
    <n v="1"/>
    <n v="0"/>
    <m/>
    <n v="35.4"/>
  </r>
  <r>
    <x v="3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x v="4"/>
    <d v="2025-02-12T00:00:00"/>
    <x v="0"/>
    <x v="0"/>
    <x v="2"/>
    <x v="1"/>
    <s v="Free"/>
    <n v="0"/>
    <n v="0"/>
    <n v="0"/>
    <n v="0"/>
    <n v="0"/>
    <n v="0"/>
    <n v="0"/>
    <m/>
    <n v="66.599999999999994"/>
  </r>
  <r>
    <x v="5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x v="6"/>
    <d v="2025-04-08T00:00:00"/>
    <x v="0"/>
    <x v="2"/>
    <x v="1"/>
    <x v="2"/>
    <s v="Basic"/>
    <n v="1"/>
    <n v="1"/>
    <n v="0"/>
    <n v="0"/>
    <n v="0"/>
    <n v="0"/>
    <n v="0"/>
    <m/>
    <n v="57.1"/>
  </r>
  <r>
    <x v="7"/>
    <d v="2025-05-17T00:00:00"/>
    <x v="0"/>
    <x v="3"/>
    <x v="1"/>
    <x v="2"/>
    <s v="Free"/>
    <n v="0"/>
    <n v="0"/>
    <n v="0"/>
    <n v="0"/>
    <n v="0"/>
    <n v="0"/>
    <n v="0"/>
    <m/>
    <n v="36.4"/>
  </r>
  <r>
    <x v="8"/>
    <d v="2025-02-23T00:00:00"/>
    <x v="0"/>
    <x v="3"/>
    <x v="2"/>
    <x v="3"/>
    <s v="Basic"/>
    <n v="0"/>
    <n v="0"/>
    <n v="0"/>
    <n v="0"/>
    <n v="0"/>
    <n v="0"/>
    <n v="0"/>
    <m/>
    <n v="55.4"/>
  </r>
  <r>
    <x v="9"/>
    <d v="2025-05-29T00:00:00"/>
    <x v="0"/>
    <x v="1"/>
    <x v="0"/>
    <x v="4"/>
    <s v="Free"/>
    <n v="1"/>
    <n v="0"/>
    <n v="0"/>
    <n v="0"/>
    <n v="0"/>
    <n v="0"/>
    <n v="0"/>
    <m/>
    <n v="57.3"/>
  </r>
  <r>
    <x v="10"/>
    <d v="2025-04-30T00:00:00"/>
    <x v="0"/>
    <x v="2"/>
    <x v="1"/>
    <x v="2"/>
    <s v="Basic"/>
    <n v="1"/>
    <n v="1"/>
    <n v="1"/>
    <n v="0"/>
    <n v="0"/>
    <n v="0"/>
    <n v="0"/>
    <m/>
    <n v="63.6"/>
  </r>
  <r>
    <x v="11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x v="12"/>
    <d v="2025-02-07T00:00:00"/>
    <x v="0"/>
    <x v="3"/>
    <x v="0"/>
    <x v="0"/>
    <s v="Basic"/>
    <n v="1"/>
    <n v="0"/>
    <n v="0"/>
    <n v="0"/>
    <n v="0"/>
    <n v="0"/>
    <n v="0"/>
    <m/>
    <n v="62.4"/>
  </r>
  <r>
    <x v="13"/>
    <d v="2025-03-02T00:00:00"/>
    <x v="0"/>
    <x v="1"/>
    <x v="1"/>
    <x v="4"/>
    <s v="Basic"/>
    <n v="1"/>
    <n v="0"/>
    <n v="0"/>
    <n v="0"/>
    <n v="0"/>
    <n v="0"/>
    <n v="0"/>
    <m/>
    <n v="82.4"/>
  </r>
  <r>
    <x v="14"/>
    <d v="2025-05-30T00:00:00"/>
    <x v="0"/>
    <x v="3"/>
    <x v="1"/>
    <x v="1"/>
    <s v="Basic"/>
    <n v="0"/>
    <n v="0"/>
    <n v="0"/>
    <n v="0"/>
    <n v="0"/>
    <n v="0"/>
    <n v="0"/>
    <m/>
    <n v="61.2"/>
  </r>
  <r>
    <x v="15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x v="16"/>
    <d v="2025-03-27T00:00:00"/>
    <x v="0"/>
    <x v="2"/>
    <x v="0"/>
    <x v="2"/>
    <s v="Free"/>
    <n v="1"/>
    <n v="1"/>
    <n v="1"/>
    <n v="0"/>
    <n v="0"/>
    <n v="0"/>
    <n v="0"/>
    <m/>
    <n v="71.900000000000006"/>
  </r>
  <r>
    <x v="17"/>
    <d v="2025-05-28T00:00:00"/>
    <x v="0"/>
    <x v="3"/>
    <x v="0"/>
    <x v="2"/>
    <s v="Free"/>
    <n v="0"/>
    <n v="0"/>
    <n v="0"/>
    <n v="0"/>
    <n v="0"/>
    <n v="0"/>
    <n v="0"/>
    <m/>
    <n v="50.5"/>
  </r>
  <r>
    <x v="18"/>
    <d v="2025-02-15T00:00:00"/>
    <x v="0"/>
    <x v="0"/>
    <x v="0"/>
    <x v="2"/>
    <s v="Basic"/>
    <n v="0"/>
    <n v="0"/>
    <n v="0"/>
    <n v="0"/>
    <n v="0"/>
    <n v="0"/>
    <n v="0"/>
    <m/>
    <n v="49.3"/>
  </r>
  <r>
    <x v="19"/>
    <d v="2025-05-05T00:00:00"/>
    <x v="0"/>
    <x v="1"/>
    <x v="0"/>
    <x v="1"/>
    <s v="Basic"/>
    <n v="0"/>
    <n v="0"/>
    <n v="0"/>
    <n v="0"/>
    <n v="0"/>
    <n v="2"/>
    <n v="0"/>
    <m/>
    <n v="60.9"/>
  </r>
  <r>
    <x v="20"/>
    <d v="2025-04-13T00:00:00"/>
    <x v="0"/>
    <x v="2"/>
    <x v="1"/>
    <x v="4"/>
    <s v="Free"/>
    <n v="1"/>
    <n v="0"/>
    <n v="0"/>
    <n v="0"/>
    <n v="0"/>
    <n v="0"/>
    <n v="0"/>
    <m/>
    <n v="62.7"/>
  </r>
  <r>
    <x v="21"/>
    <d v="2025-05-07T00:00:00"/>
    <x v="0"/>
    <x v="0"/>
    <x v="0"/>
    <x v="2"/>
    <s v="Free"/>
    <n v="0"/>
    <n v="0"/>
    <n v="0"/>
    <n v="0"/>
    <n v="0"/>
    <n v="0"/>
    <n v="0"/>
    <m/>
    <n v="52.7"/>
  </r>
  <r>
    <x v="22"/>
    <d v="2025-05-25T00:00:00"/>
    <x v="0"/>
    <x v="0"/>
    <x v="0"/>
    <x v="1"/>
    <s v="Free"/>
    <n v="0"/>
    <n v="0"/>
    <n v="0"/>
    <n v="0"/>
    <n v="0"/>
    <n v="0"/>
    <n v="0"/>
    <m/>
    <n v="54"/>
  </r>
  <r>
    <x v="23"/>
    <d v="2025-04-01T00:00:00"/>
    <x v="0"/>
    <x v="2"/>
    <x v="1"/>
    <x v="2"/>
    <s v="Premium"/>
    <n v="1"/>
    <n v="1"/>
    <n v="0"/>
    <n v="0"/>
    <n v="0"/>
    <n v="0"/>
    <n v="0"/>
    <m/>
    <n v="51.6"/>
  </r>
  <r>
    <x v="24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x v="25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x v="26"/>
    <d v="2025-02-13T00:00:00"/>
    <x v="0"/>
    <x v="0"/>
    <x v="1"/>
    <x v="1"/>
    <s v="Free"/>
    <n v="0"/>
    <n v="0"/>
    <n v="0"/>
    <n v="0"/>
    <n v="0"/>
    <n v="0"/>
    <n v="0"/>
    <m/>
    <n v="58.8"/>
  </r>
  <r>
    <x v="27"/>
    <d v="2025-05-30T00:00:00"/>
    <x v="0"/>
    <x v="3"/>
    <x v="1"/>
    <x v="1"/>
    <s v="Free"/>
    <n v="1"/>
    <n v="0"/>
    <n v="0"/>
    <n v="0"/>
    <n v="0"/>
    <n v="0"/>
    <n v="0"/>
    <m/>
    <n v="73.8"/>
  </r>
  <r>
    <x v="28"/>
    <d v="2025-01-20T00:00:00"/>
    <x v="0"/>
    <x v="2"/>
    <x v="2"/>
    <x v="1"/>
    <s v="Basic"/>
    <n v="0"/>
    <n v="0"/>
    <n v="0"/>
    <n v="0"/>
    <n v="0"/>
    <n v="0"/>
    <n v="0"/>
    <m/>
    <n v="60.1"/>
  </r>
  <r>
    <x v="29"/>
    <d v="2025-05-19T00:00:00"/>
    <x v="0"/>
    <x v="2"/>
    <x v="1"/>
    <x v="4"/>
    <s v="Basic"/>
    <n v="1"/>
    <n v="1"/>
    <n v="1"/>
    <n v="0"/>
    <n v="0"/>
    <n v="0"/>
    <n v="0"/>
    <m/>
    <n v="41"/>
  </r>
  <r>
    <x v="30"/>
    <d v="2025-02-18T00:00:00"/>
    <x v="0"/>
    <x v="3"/>
    <x v="1"/>
    <x v="1"/>
    <s v="Basic"/>
    <n v="1"/>
    <n v="0"/>
    <n v="0"/>
    <n v="0"/>
    <n v="0"/>
    <n v="0"/>
    <n v="0"/>
    <m/>
    <n v="80.3"/>
  </r>
  <r>
    <x v="31"/>
    <d v="2025-02-13T00:00:00"/>
    <x v="0"/>
    <x v="2"/>
    <x v="1"/>
    <x v="1"/>
    <s v="Free"/>
    <n v="0"/>
    <n v="0"/>
    <n v="0"/>
    <n v="0"/>
    <n v="0"/>
    <n v="0"/>
    <n v="0"/>
    <m/>
    <n v="67.599999999999994"/>
  </r>
  <r>
    <x v="32"/>
    <d v="2025-03-08T00:00:00"/>
    <x v="0"/>
    <x v="2"/>
    <x v="0"/>
    <x v="3"/>
    <s v="Premium"/>
    <n v="0"/>
    <n v="0"/>
    <n v="0"/>
    <n v="0"/>
    <n v="0"/>
    <n v="0"/>
    <n v="0"/>
    <m/>
    <n v="64"/>
  </r>
  <r>
    <x v="33"/>
    <d v="2025-01-11T00:00:00"/>
    <x v="0"/>
    <x v="0"/>
    <x v="1"/>
    <x v="2"/>
    <s v="Free"/>
    <n v="1"/>
    <n v="1"/>
    <n v="0"/>
    <n v="0"/>
    <n v="0"/>
    <n v="0"/>
    <n v="0"/>
    <m/>
    <n v="27.2"/>
  </r>
  <r>
    <x v="34"/>
    <d v="2025-02-12T00:00:00"/>
    <x v="0"/>
    <x v="0"/>
    <x v="0"/>
    <x v="1"/>
    <s v="Free"/>
    <n v="1"/>
    <n v="0"/>
    <n v="0"/>
    <n v="0"/>
    <n v="0"/>
    <n v="0"/>
    <n v="0"/>
    <m/>
    <n v="85.4"/>
  </r>
  <r>
    <x v="35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x v="36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x v="37"/>
    <d v="2025-01-20T00:00:00"/>
    <x v="0"/>
    <x v="2"/>
    <x v="1"/>
    <x v="1"/>
    <s v="Free"/>
    <n v="1"/>
    <n v="1"/>
    <n v="1"/>
    <n v="0"/>
    <n v="0"/>
    <n v="3"/>
    <n v="0"/>
    <m/>
    <n v="48.9"/>
  </r>
  <r>
    <x v="38"/>
    <d v="2025-05-13T00:00:00"/>
    <x v="0"/>
    <x v="2"/>
    <x v="1"/>
    <x v="0"/>
    <s v="Premium"/>
    <n v="1"/>
    <n v="0"/>
    <n v="0"/>
    <n v="0"/>
    <n v="0"/>
    <n v="0"/>
    <n v="0"/>
    <m/>
    <n v="41.5"/>
  </r>
  <r>
    <x v="39"/>
    <d v="2025-04-07T00:00:00"/>
    <x v="0"/>
    <x v="0"/>
    <x v="0"/>
    <x v="1"/>
    <s v="Basic"/>
    <n v="1"/>
    <n v="0"/>
    <n v="0"/>
    <n v="0"/>
    <n v="0"/>
    <n v="0"/>
    <n v="0"/>
    <m/>
    <n v="51.5"/>
  </r>
  <r>
    <x v="40"/>
    <d v="2025-03-31T00:00:00"/>
    <x v="0"/>
    <x v="0"/>
    <x v="0"/>
    <x v="1"/>
    <s v="Free"/>
    <n v="0"/>
    <n v="0"/>
    <n v="0"/>
    <n v="0"/>
    <n v="0"/>
    <n v="0"/>
    <n v="0"/>
    <m/>
    <n v="53.2"/>
  </r>
  <r>
    <x v="41"/>
    <d v="2025-01-25T00:00:00"/>
    <x v="0"/>
    <x v="2"/>
    <x v="1"/>
    <x v="0"/>
    <s v="Premium"/>
    <n v="0"/>
    <n v="0"/>
    <n v="0"/>
    <n v="0"/>
    <n v="0"/>
    <n v="0"/>
    <n v="0"/>
    <m/>
    <n v="55.6"/>
  </r>
  <r>
    <x v="42"/>
    <d v="2025-02-14T00:00:00"/>
    <x v="0"/>
    <x v="3"/>
    <x v="0"/>
    <x v="1"/>
    <s v="Free"/>
    <n v="0"/>
    <n v="0"/>
    <n v="0"/>
    <n v="0"/>
    <n v="0"/>
    <n v="0"/>
    <n v="0"/>
    <m/>
    <n v="73"/>
  </r>
  <r>
    <x v="43"/>
    <d v="2025-02-27T00:00:00"/>
    <x v="0"/>
    <x v="2"/>
    <x v="1"/>
    <x v="0"/>
    <s v="Free"/>
    <n v="1"/>
    <n v="0"/>
    <n v="0"/>
    <n v="0"/>
    <n v="0"/>
    <n v="0"/>
    <n v="0"/>
    <m/>
    <n v="65"/>
  </r>
  <r>
    <x v="44"/>
    <d v="2025-03-28T00:00:00"/>
    <x v="0"/>
    <x v="2"/>
    <x v="1"/>
    <x v="4"/>
    <s v="Free"/>
    <n v="1"/>
    <n v="0"/>
    <n v="0"/>
    <n v="0"/>
    <n v="0"/>
    <n v="4"/>
    <n v="0"/>
    <m/>
    <n v="56.3"/>
  </r>
  <r>
    <x v="45"/>
    <d v="2025-05-25T00:00:00"/>
    <x v="0"/>
    <x v="2"/>
    <x v="1"/>
    <x v="3"/>
    <s v="Premium"/>
    <n v="1"/>
    <n v="0"/>
    <n v="0"/>
    <n v="0"/>
    <n v="0"/>
    <n v="0"/>
    <n v="0"/>
    <m/>
    <n v="62.4"/>
  </r>
  <r>
    <x v="46"/>
    <d v="2025-05-05T00:00:00"/>
    <x v="0"/>
    <x v="1"/>
    <x v="0"/>
    <x v="1"/>
    <s v="Free"/>
    <n v="1"/>
    <n v="1"/>
    <n v="1"/>
    <n v="0"/>
    <n v="0"/>
    <n v="0"/>
    <n v="0"/>
    <m/>
    <n v="58.1"/>
  </r>
  <r>
    <x v="47"/>
    <d v="2025-05-16T00:00:00"/>
    <x v="0"/>
    <x v="0"/>
    <x v="1"/>
    <x v="1"/>
    <s v="Free"/>
    <n v="1"/>
    <n v="1"/>
    <n v="1"/>
    <n v="0"/>
    <n v="0"/>
    <n v="0"/>
    <n v="0"/>
    <m/>
    <n v="80.8"/>
  </r>
  <r>
    <x v="48"/>
    <d v="2025-01-08T00:00:00"/>
    <x v="0"/>
    <x v="0"/>
    <x v="1"/>
    <x v="4"/>
    <s v="Free"/>
    <n v="1"/>
    <n v="1"/>
    <n v="0"/>
    <n v="0"/>
    <n v="0"/>
    <n v="0"/>
    <n v="0"/>
    <m/>
    <n v="42.9"/>
  </r>
  <r>
    <x v="49"/>
    <d v="2025-01-06T00:00:00"/>
    <x v="0"/>
    <x v="1"/>
    <x v="0"/>
    <x v="2"/>
    <s v="Free"/>
    <n v="1"/>
    <n v="0"/>
    <n v="0"/>
    <n v="0"/>
    <n v="0"/>
    <n v="0"/>
    <n v="0"/>
    <m/>
    <n v="52.7"/>
  </r>
  <r>
    <x v="50"/>
    <d v="2025-01-12T00:00:00"/>
    <x v="0"/>
    <x v="0"/>
    <x v="1"/>
    <x v="4"/>
    <s v="Basic"/>
    <n v="0"/>
    <n v="0"/>
    <n v="0"/>
    <n v="0"/>
    <n v="0"/>
    <n v="0"/>
    <n v="0"/>
    <m/>
    <n v="46.9"/>
  </r>
  <r>
    <x v="51"/>
    <d v="2025-02-14T00:00:00"/>
    <x v="0"/>
    <x v="2"/>
    <x v="0"/>
    <x v="0"/>
    <s v="Premium"/>
    <n v="1"/>
    <n v="0"/>
    <n v="0"/>
    <n v="0"/>
    <n v="0"/>
    <n v="0"/>
    <n v="0"/>
    <m/>
    <n v="63"/>
  </r>
  <r>
    <x v="52"/>
    <d v="2025-03-10T00:00:00"/>
    <x v="0"/>
    <x v="3"/>
    <x v="2"/>
    <x v="1"/>
    <s v="Free"/>
    <n v="0"/>
    <n v="0"/>
    <n v="0"/>
    <n v="0"/>
    <n v="0"/>
    <n v="0"/>
    <n v="0"/>
    <m/>
    <n v="53.6"/>
  </r>
  <r>
    <x v="53"/>
    <d v="2025-04-20T00:00:00"/>
    <x v="0"/>
    <x v="1"/>
    <x v="0"/>
    <x v="1"/>
    <s v="Basic"/>
    <n v="0"/>
    <n v="0"/>
    <n v="0"/>
    <n v="0"/>
    <n v="0"/>
    <n v="0"/>
    <n v="0"/>
    <m/>
    <n v="49.6"/>
  </r>
  <r>
    <x v="54"/>
    <d v="2025-02-19T00:00:00"/>
    <x v="0"/>
    <x v="3"/>
    <x v="1"/>
    <x v="1"/>
    <s v="Free"/>
    <n v="0"/>
    <n v="0"/>
    <n v="0"/>
    <n v="0"/>
    <n v="0"/>
    <n v="0"/>
    <n v="0"/>
    <m/>
    <n v="54"/>
  </r>
  <r>
    <x v="55"/>
    <d v="2025-05-17T00:00:00"/>
    <x v="0"/>
    <x v="3"/>
    <x v="1"/>
    <x v="4"/>
    <s v="Basic"/>
    <n v="1"/>
    <n v="0"/>
    <n v="0"/>
    <n v="0"/>
    <n v="0"/>
    <n v="2"/>
    <n v="0"/>
    <m/>
    <n v="50"/>
  </r>
  <r>
    <x v="56"/>
    <d v="2025-04-01T00:00:00"/>
    <x v="0"/>
    <x v="2"/>
    <x v="1"/>
    <x v="4"/>
    <s v="Basic"/>
    <n v="0"/>
    <n v="0"/>
    <n v="0"/>
    <n v="0"/>
    <n v="0"/>
    <n v="0"/>
    <n v="0"/>
    <m/>
    <n v="48.1"/>
  </r>
  <r>
    <x v="57"/>
    <d v="2025-02-04T00:00:00"/>
    <x v="0"/>
    <x v="0"/>
    <x v="0"/>
    <x v="1"/>
    <s v="Free"/>
    <n v="1"/>
    <n v="0"/>
    <n v="0"/>
    <n v="0"/>
    <n v="0"/>
    <n v="0"/>
    <n v="0"/>
    <m/>
    <n v="49.6"/>
  </r>
  <r>
    <x v="58"/>
    <d v="2025-04-14T00:00:00"/>
    <x v="0"/>
    <x v="0"/>
    <x v="1"/>
    <x v="4"/>
    <s v="Free"/>
    <n v="0"/>
    <n v="0"/>
    <n v="0"/>
    <n v="0"/>
    <n v="0"/>
    <n v="2"/>
    <n v="0"/>
    <m/>
    <n v="48.9"/>
  </r>
  <r>
    <x v="59"/>
    <d v="2025-01-01T00:00:00"/>
    <x v="0"/>
    <x v="1"/>
    <x v="1"/>
    <x v="4"/>
    <s v="Free"/>
    <n v="1"/>
    <n v="1"/>
    <n v="1"/>
    <n v="1"/>
    <n v="240.42"/>
    <n v="0"/>
    <n v="0"/>
    <n v="16"/>
    <n v="56.5"/>
  </r>
  <r>
    <x v="60"/>
    <d v="2025-04-02T00:00:00"/>
    <x v="0"/>
    <x v="3"/>
    <x v="1"/>
    <x v="3"/>
    <s v="Free"/>
    <n v="1"/>
    <n v="0"/>
    <n v="0"/>
    <n v="0"/>
    <n v="0"/>
    <n v="0"/>
    <n v="0"/>
    <m/>
    <n v="53.7"/>
  </r>
  <r>
    <x v="61"/>
    <d v="2025-03-29T00:00:00"/>
    <x v="0"/>
    <x v="0"/>
    <x v="1"/>
    <x v="4"/>
    <s v="Premium"/>
    <n v="0"/>
    <n v="0"/>
    <n v="0"/>
    <n v="0"/>
    <n v="0"/>
    <n v="0"/>
    <n v="0"/>
    <m/>
    <n v="62.2"/>
  </r>
  <r>
    <x v="62"/>
    <d v="2025-05-15T00:00:00"/>
    <x v="0"/>
    <x v="3"/>
    <x v="0"/>
    <x v="1"/>
    <s v="Free"/>
    <n v="1"/>
    <n v="0"/>
    <n v="0"/>
    <n v="0"/>
    <n v="0"/>
    <n v="0"/>
    <n v="0"/>
    <m/>
    <n v="50.2"/>
  </r>
  <r>
    <x v="63"/>
    <d v="2025-04-11T00:00:00"/>
    <x v="0"/>
    <x v="0"/>
    <x v="1"/>
    <x v="1"/>
    <s v="Basic"/>
    <n v="1"/>
    <n v="0"/>
    <n v="0"/>
    <n v="0"/>
    <n v="0"/>
    <n v="0"/>
    <n v="0"/>
    <m/>
    <n v="74.3"/>
  </r>
  <r>
    <x v="64"/>
    <d v="2025-03-07T00:00:00"/>
    <x v="0"/>
    <x v="3"/>
    <x v="0"/>
    <x v="2"/>
    <s v="Free"/>
    <n v="1"/>
    <n v="0"/>
    <n v="0"/>
    <n v="0"/>
    <n v="0"/>
    <n v="0"/>
    <n v="0"/>
    <m/>
    <n v="58"/>
  </r>
  <r>
    <x v="65"/>
    <d v="2025-05-30T00:00:00"/>
    <x v="0"/>
    <x v="3"/>
    <x v="1"/>
    <x v="1"/>
    <s v="Free"/>
    <n v="0"/>
    <n v="0"/>
    <n v="0"/>
    <n v="0"/>
    <n v="0"/>
    <n v="0"/>
    <n v="0"/>
    <m/>
    <n v="46.7"/>
  </r>
  <r>
    <x v="66"/>
    <d v="2025-01-07T00:00:00"/>
    <x v="0"/>
    <x v="3"/>
    <x v="0"/>
    <x v="1"/>
    <s v="Premium"/>
    <n v="1"/>
    <n v="0"/>
    <n v="0"/>
    <n v="0"/>
    <n v="0"/>
    <n v="1"/>
    <n v="0"/>
    <m/>
    <n v="49.6"/>
  </r>
  <r>
    <x v="67"/>
    <d v="2025-05-08T00:00:00"/>
    <x v="0"/>
    <x v="1"/>
    <x v="1"/>
    <x v="4"/>
    <s v="Free"/>
    <n v="0"/>
    <n v="0"/>
    <n v="0"/>
    <n v="0"/>
    <n v="0"/>
    <n v="0"/>
    <n v="0"/>
    <m/>
    <n v="60.4"/>
  </r>
  <r>
    <x v="68"/>
    <d v="2025-03-19T00:00:00"/>
    <x v="0"/>
    <x v="2"/>
    <x v="0"/>
    <x v="0"/>
    <s v="Free"/>
    <n v="1"/>
    <n v="1"/>
    <n v="1"/>
    <n v="0"/>
    <n v="0"/>
    <n v="0"/>
    <n v="0"/>
    <m/>
    <n v="55.3"/>
  </r>
  <r>
    <x v="69"/>
    <d v="2025-05-16T00:00:00"/>
    <x v="0"/>
    <x v="0"/>
    <x v="0"/>
    <x v="1"/>
    <s v="Free"/>
    <n v="0"/>
    <n v="0"/>
    <n v="0"/>
    <n v="0"/>
    <n v="0"/>
    <n v="0"/>
    <n v="0"/>
    <m/>
    <n v="56.2"/>
  </r>
  <r>
    <x v="70"/>
    <d v="2025-03-08T00:00:00"/>
    <x v="0"/>
    <x v="1"/>
    <x v="1"/>
    <x v="0"/>
    <s v="Free"/>
    <n v="0"/>
    <n v="0"/>
    <n v="0"/>
    <n v="0"/>
    <n v="0"/>
    <n v="0"/>
    <n v="0"/>
    <m/>
    <n v="29.4"/>
  </r>
  <r>
    <x v="71"/>
    <d v="2025-03-08T00:00:00"/>
    <x v="0"/>
    <x v="2"/>
    <x v="1"/>
    <x v="0"/>
    <s v="Free"/>
    <n v="1"/>
    <n v="0"/>
    <n v="0"/>
    <n v="0"/>
    <n v="0"/>
    <n v="0"/>
    <n v="0"/>
    <m/>
    <n v="54.2"/>
  </r>
  <r>
    <x v="72"/>
    <d v="2025-01-14T00:00:00"/>
    <x v="0"/>
    <x v="2"/>
    <x v="0"/>
    <x v="2"/>
    <s v="Basic"/>
    <n v="0"/>
    <n v="0"/>
    <n v="0"/>
    <n v="0"/>
    <n v="0"/>
    <n v="0"/>
    <n v="0"/>
    <m/>
    <n v="46.4"/>
  </r>
  <r>
    <x v="73"/>
    <d v="2025-02-10T00:00:00"/>
    <x v="0"/>
    <x v="3"/>
    <x v="1"/>
    <x v="2"/>
    <s v="Basic"/>
    <n v="0"/>
    <n v="0"/>
    <n v="0"/>
    <n v="0"/>
    <n v="0"/>
    <n v="0"/>
    <n v="0"/>
    <m/>
    <n v="54.5"/>
  </r>
  <r>
    <x v="74"/>
    <d v="2025-03-17T00:00:00"/>
    <x v="0"/>
    <x v="0"/>
    <x v="1"/>
    <x v="1"/>
    <s v="Free"/>
    <n v="0"/>
    <n v="0"/>
    <n v="0"/>
    <n v="0"/>
    <n v="0"/>
    <n v="0"/>
    <n v="0"/>
    <m/>
    <n v="58.5"/>
  </r>
  <r>
    <x v="75"/>
    <d v="2025-01-09T00:00:00"/>
    <x v="0"/>
    <x v="3"/>
    <x v="1"/>
    <x v="0"/>
    <s v="Free"/>
    <n v="0"/>
    <n v="0"/>
    <n v="0"/>
    <n v="0"/>
    <n v="0"/>
    <n v="0"/>
    <n v="0"/>
    <m/>
    <n v="75.900000000000006"/>
  </r>
  <r>
    <x v="76"/>
    <d v="2025-04-17T00:00:00"/>
    <x v="0"/>
    <x v="0"/>
    <x v="1"/>
    <x v="3"/>
    <s v="Free"/>
    <n v="0"/>
    <n v="0"/>
    <n v="0"/>
    <n v="0"/>
    <n v="0"/>
    <n v="1"/>
    <n v="0"/>
    <m/>
    <n v="84.9"/>
  </r>
  <r>
    <x v="77"/>
    <d v="2025-01-16T00:00:00"/>
    <x v="0"/>
    <x v="0"/>
    <x v="1"/>
    <x v="1"/>
    <s v="Free"/>
    <n v="0"/>
    <n v="0"/>
    <n v="0"/>
    <n v="0"/>
    <n v="0"/>
    <n v="2"/>
    <n v="0"/>
    <m/>
    <n v="48.4"/>
  </r>
  <r>
    <x v="78"/>
    <d v="2025-02-20T00:00:00"/>
    <x v="0"/>
    <x v="1"/>
    <x v="0"/>
    <x v="1"/>
    <s v="Free"/>
    <n v="1"/>
    <n v="1"/>
    <n v="1"/>
    <n v="1"/>
    <n v="457.51"/>
    <n v="0"/>
    <n v="0"/>
    <n v="7"/>
    <n v="38"/>
  </r>
  <r>
    <x v="79"/>
    <d v="2025-05-21T00:00:00"/>
    <x v="0"/>
    <x v="2"/>
    <x v="1"/>
    <x v="4"/>
    <s v="Free"/>
    <n v="1"/>
    <n v="0"/>
    <n v="0"/>
    <n v="0"/>
    <n v="0"/>
    <n v="0"/>
    <n v="0"/>
    <m/>
    <n v="44.2"/>
  </r>
  <r>
    <x v="80"/>
    <d v="2025-05-08T00:00:00"/>
    <x v="0"/>
    <x v="3"/>
    <x v="1"/>
    <x v="1"/>
    <s v="Free"/>
    <n v="1"/>
    <n v="1"/>
    <n v="1"/>
    <n v="0"/>
    <n v="0"/>
    <n v="0"/>
    <n v="0"/>
    <m/>
    <n v="81.2"/>
  </r>
  <r>
    <x v="81"/>
    <d v="2025-03-08T00:00:00"/>
    <x v="0"/>
    <x v="3"/>
    <x v="1"/>
    <x v="3"/>
    <s v="Free"/>
    <n v="1"/>
    <n v="1"/>
    <n v="0"/>
    <n v="0"/>
    <n v="0"/>
    <n v="0"/>
    <n v="0"/>
    <m/>
    <n v="63.8"/>
  </r>
  <r>
    <x v="82"/>
    <d v="2025-04-01T00:00:00"/>
    <x v="0"/>
    <x v="3"/>
    <x v="0"/>
    <x v="0"/>
    <s v="Free"/>
    <n v="0"/>
    <n v="0"/>
    <n v="0"/>
    <n v="0"/>
    <n v="0"/>
    <n v="0"/>
    <n v="0"/>
    <m/>
    <n v="64.7"/>
  </r>
  <r>
    <x v="83"/>
    <d v="2025-03-03T00:00:00"/>
    <x v="0"/>
    <x v="1"/>
    <x v="1"/>
    <x v="4"/>
    <s v="Basic"/>
    <n v="0"/>
    <n v="0"/>
    <n v="0"/>
    <n v="0"/>
    <n v="0"/>
    <n v="0"/>
    <n v="0"/>
    <m/>
    <n v="60.4"/>
  </r>
  <r>
    <x v="84"/>
    <d v="2025-04-16T00:00:00"/>
    <x v="0"/>
    <x v="3"/>
    <x v="1"/>
    <x v="2"/>
    <s v="Free"/>
    <n v="0"/>
    <n v="0"/>
    <n v="0"/>
    <n v="0"/>
    <n v="0"/>
    <n v="0"/>
    <n v="0"/>
    <m/>
    <n v="66.599999999999994"/>
  </r>
  <r>
    <x v="85"/>
    <d v="2025-01-09T00:00:00"/>
    <x v="0"/>
    <x v="0"/>
    <x v="0"/>
    <x v="1"/>
    <s v="Free"/>
    <n v="1"/>
    <n v="0"/>
    <n v="0"/>
    <n v="0"/>
    <n v="0"/>
    <n v="0"/>
    <n v="0"/>
    <m/>
    <n v="50.9"/>
  </r>
  <r>
    <x v="86"/>
    <d v="2025-01-22T00:00:00"/>
    <x v="0"/>
    <x v="1"/>
    <x v="0"/>
    <x v="4"/>
    <s v="Basic"/>
    <n v="0"/>
    <n v="0"/>
    <n v="0"/>
    <n v="0"/>
    <n v="0"/>
    <n v="0"/>
    <n v="0"/>
    <m/>
    <n v="51"/>
  </r>
  <r>
    <x v="87"/>
    <d v="2025-04-30T00:00:00"/>
    <x v="0"/>
    <x v="3"/>
    <x v="1"/>
    <x v="0"/>
    <s v="Premium"/>
    <n v="0"/>
    <n v="0"/>
    <n v="0"/>
    <n v="0"/>
    <n v="0"/>
    <n v="0"/>
    <n v="0"/>
    <m/>
    <n v="65.8"/>
  </r>
  <r>
    <x v="88"/>
    <d v="2025-04-25T00:00:00"/>
    <x v="0"/>
    <x v="0"/>
    <x v="1"/>
    <x v="3"/>
    <s v="Basic"/>
    <n v="1"/>
    <n v="0"/>
    <n v="0"/>
    <n v="0"/>
    <n v="0"/>
    <n v="0"/>
    <n v="0"/>
    <m/>
    <n v="61.8"/>
  </r>
  <r>
    <x v="89"/>
    <d v="2025-02-01T00:00:00"/>
    <x v="0"/>
    <x v="0"/>
    <x v="1"/>
    <x v="1"/>
    <s v="Basic"/>
    <n v="1"/>
    <n v="0"/>
    <n v="0"/>
    <n v="0"/>
    <n v="0"/>
    <n v="0"/>
    <n v="0"/>
    <m/>
    <n v="54.5"/>
  </r>
  <r>
    <x v="90"/>
    <d v="2025-04-23T00:00:00"/>
    <x v="0"/>
    <x v="3"/>
    <x v="0"/>
    <x v="1"/>
    <s v="Free"/>
    <n v="1"/>
    <n v="0"/>
    <n v="0"/>
    <n v="0"/>
    <n v="0"/>
    <n v="0"/>
    <n v="0"/>
    <m/>
    <n v="72.2"/>
  </r>
  <r>
    <x v="91"/>
    <d v="2025-02-27T00:00:00"/>
    <x v="0"/>
    <x v="3"/>
    <x v="1"/>
    <x v="4"/>
    <s v="Free"/>
    <n v="1"/>
    <n v="0"/>
    <n v="0"/>
    <n v="0"/>
    <n v="0"/>
    <n v="0"/>
    <n v="0"/>
    <m/>
    <n v="42.3"/>
  </r>
  <r>
    <x v="92"/>
    <d v="2025-04-09T00:00:00"/>
    <x v="0"/>
    <x v="2"/>
    <x v="0"/>
    <x v="1"/>
    <s v="Basic"/>
    <n v="1"/>
    <n v="0"/>
    <n v="0"/>
    <n v="0"/>
    <n v="0"/>
    <n v="0"/>
    <n v="0"/>
    <m/>
    <n v="76.2"/>
  </r>
  <r>
    <x v="93"/>
    <d v="2025-05-13T00:00:00"/>
    <x v="0"/>
    <x v="3"/>
    <x v="2"/>
    <x v="1"/>
    <s v="Premium"/>
    <n v="1"/>
    <n v="1"/>
    <n v="1"/>
    <n v="0"/>
    <n v="0"/>
    <n v="1"/>
    <n v="0"/>
    <m/>
    <n v="37.4"/>
  </r>
  <r>
    <x v="94"/>
    <d v="2025-04-13T00:00:00"/>
    <x v="0"/>
    <x v="2"/>
    <x v="1"/>
    <x v="1"/>
    <s v="Free"/>
    <n v="0"/>
    <n v="0"/>
    <n v="0"/>
    <n v="0"/>
    <n v="0"/>
    <n v="0"/>
    <n v="0"/>
    <m/>
    <n v="84.2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96"/>
    <d v="2025-02-14T00:00:00"/>
    <x v="0"/>
    <x v="1"/>
    <x v="1"/>
    <x v="1"/>
    <s v="Basic"/>
    <n v="1"/>
    <n v="0"/>
    <n v="0"/>
    <n v="0"/>
    <n v="0"/>
    <n v="0"/>
    <n v="0"/>
    <m/>
    <n v="53.5"/>
  </r>
  <r>
    <x v="97"/>
    <d v="2025-02-11T00:00:00"/>
    <x v="0"/>
    <x v="0"/>
    <x v="0"/>
    <x v="1"/>
    <s v="Premium"/>
    <n v="1"/>
    <n v="0"/>
    <n v="0"/>
    <n v="0"/>
    <n v="0"/>
    <n v="0"/>
    <n v="0"/>
    <m/>
    <n v="63.2"/>
  </r>
  <r>
    <x v="98"/>
    <d v="2025-02-11T00:00:00"/>
    <x v="0"/>
    <x v="2"/>
    <x v="0"/>
    <x v="4"/>
    <s v="Free"/>
    <n v="1"/>
    <n v="1"/>
    <n v="1"/>
    <n v="1"/>
    <n v="363.32"/>
    <n v="0"/>
    <n v="0"/>
    <n v="9"/>
    <n v="55.9"/>
  </r>
  <r>
    <x v="99"/>
    <d v="2025-05-26T00:00:00"/>
    <x v="0"/>
    <x v="0"/>
    <x v="1"/>
    <x v="1"/>
    <s v="Free"/>
    <n v="1"/>
    <n v="0"/>
    <n v="0"/>
    <n v="0"/>
    <n v="0"/>
    <n v="0"/>
    <n v="0"/>
    <m/>
    <n v="63.5"/>
  </r>
  <r>
    <x v="100"/>
    <d v="2025-03-22T00:00:00"/>
    <x v="0"/>
    <x v="0"/>
    <x v="1"/>
    <x v="2"/>
    <s v="Basic"/>
    <n v="1"/>
    <n v="0"/>
    <n v="0"/>
    <n v="0"/>
    <n v="0"/>
    <n v="0"/>
    <n v="0"/>
    <m/>
    <n v="51.5"/>
  </r>
  <r>
    <x v="101"/>
    <d v="2025-04-08T00:00:00"/>
    <x v="0"/>
    <x v="1"/>
    <x v="1"/>
    <x v="2"/>
    <s v="Free"/>
    <n v="1"/>
    <n v="0"/>
    <n v="0"/>
    <n v="0"/>
    <n v="0"/>
    <n v="0"/>
    <n v="0"/>
    <m/>
    <n v="74.400000000000006"/>
  </r>
  <r>
    <x v="102"/>
    <d v="2025-04-14T00:00:00"/>
    <x v="0"/>
    <x v="0"/>
    <x v="0"/>
    <x v="4"/>
    <s v="Free"/>
    <n v="1"/>
    <n v="1"/>
    <n v="1"/>
    <n v="1"/>
    <n v="3887.98"/>
    <n v="0"/>
    <n v="0"/>
    <n v="13"/>
    <n v="60.2"/>
  </r>
  <r>
    <x v="103"/>
    <d v="2025-03-27T00:00:00"/>
    <x v="0"/>
    <x v="3"/>
    <x v="1"/>
    <x v="0"/>
    <s v="Free"/>
    <n v="1"/>
    <n v="0"/>
    <n v="0"/>
    <n v="0"/>
    <n v="0"/>
    <n v="1"/>
    <n v="0"/>
    <m/>
    <n v="67.2"/>
  </r>
  <r>
    <x v="104"/>
    <d v="2025-01-05T00:00:00"/>
    <x v="0"/>
    <x v="3"/>
    <x v="1"/>
    <x v="4"/>
    <s v="Free"/>
    <n v="1"/>
    <n v="1"/>
    <n v="1"/>
    <n v="0"/>
    <n v="0"/>
    <n v="0"/>
    <n v="0"/>
    <m/>
    <n v="79.599999999999994"/>
  </r>
  <r>
    <x v="105"/>
    <d v="2025-01-25T00:00:00"/>
    <x v="0"/>
    <x v="3"/>
    <x v="1"/>
    <x v="4"/>
    <s v="Basic"/>
    <n v="1"/>
    <n v="1"/>
    <n v="1"/>
    <n v="1"/>
    <n v="8610.7199999999993"/>
    <n v="0"/>
    <n v="0"/>
    <n v="6"/>
    <n v="61"/>
  </r>
  <r>
    <x v="106"/>
    <d v="2025-01-23T00:00:00"/>
    <x v="0"/>
    <x v="1"/>
    <x v="1"/>
    <x v="0"/>
    <s v="Free"/>
    <n v="1"/>
    <n v="1"/>
    <n v="1"/>
    <n v="0"/>
    <n v="0"/>
    <n v="4"/>
    <n v="0"/>
    <m/>
    <n v="51.1"/>
  </r>
  <r>
    <x v="107"/>
    <d v="2025-05-25T00:00:00"/>
    <x v="0"/>
    <x v="2"/>
    <x v="0"/>
    <x v="3"/>
    <s v="Free"/>
    <n v="1"/>
    <n v="0"/>
    <n v="0"/>
    <n v="0"/>
    <n v="0"/>
    <n v="0"/>
    <n v="0"/>
    <m/>
    <n v="92.1"/>
  </r>
  <r>
    <x v="108"/>
    <d v="2025-03-22T00:00:00"/>
    <x v="0"/>
    <x v="3"/>
    <x v="1"/>
    <x v="3"/>
    <s v="Basic"/>
    <n v="0"/>
    <n v="0"/>
    <n v="0"/>
    <n v="0"/>
    <n v="0"/>
    <n v="0"/>
    <n v="0"/>
    <m/>
    <n v="82.1"/>
  </r>
  <r>
    <x v="109"/>
    <d v="2025-02-12T00:00:00"/>
    <x v="0"/>
    <x v="1"/>
    <x v="0"/>
    <x v="2"/>
    <s v="Basic"/>
    <n v="1"/>
    <n v="0"/>
    <n v="0"/>
    <n v="0"/>
    <n v="0"/>
    <n v="1"/>
    <n v="0"/>
    <m/>
    <n v="74"/>
  </r>
  <r>
    <x v="110"/>
    <d v="2025-04-28T00:00:00"/>
    <x v="0"/>
    <x v="1"/>
    <x v="0"/>
    <x v="1"/>
    <s v="Basic"/>
    <n v="1"/>
    <n v="0"/>
    <n v="0"/>
    <n v="0"/>
    <n v="0"/>
    <n v="0"/>
    <n v="0"/>
    <m/>
    <n v="63.4"/>
  </r>
  <r>
    <x v="111"/>
    <d v="2025-01-30T00:00:00"/>
    <x v="0"/>
    <x v="0"/>
    <x v="1"/>
    <x v="1"/>
    <s v="Basic"/>
    <n v="1"/>
    <n v="0"/>
    <n v="0"/>
    <n v="0"/>
    <n v="0"/>
    <n v="0"/>
    <n v="0"/>
    <m/>
    <n v="53.2"/>
  </r>
  <r>
    <x v="112"/>
    <d v="2025-05-19T00:00:00"/>
    <x v="0"/>
    <x v="2"/>
    <x v="2"/>
    <x v="2"/>
    <s v="Free"/>
    <n v="0"/>
    <n v="0"/>
    <n v="0"/>
    <n v="0"/>
    <n v="0"/>
    <n v="0"/>
    <n v="0"/>
    <m/>
    <n v="48.1"/>
  </r>
  <r>
    <x v="113"/>
    <d v="2025-01-23T00:00:00"/>
    <x v="0"/>
    <x v="3"/>
    <x v="1"/>
    <x v="4"/>
    <s v="Free"/>
    <n v="1"/>
    <n v="1"/>
    <n v="0"/>
    <n v="0"/>
    <n v="0"/>
    <n v="0"/>
    <n v="0"/>
    <m/>
    <n v="61.5"/>
  </r>
  <r>
    <x v="114"/>
    <d v="2025-03-28T00:00:00"/>
    <x v="0"/>
    <x v="2"/>
    <x v="0"/>
    <x v="4"/>
    <s v="Free"/>
    <n v="1"/>
    <n v="0"/>
    <n v="0"/>
    <n v="0"/>
    <n v="0"/>
    <n v="0"/>
    <n v="0"/>
    <m/>
    <n v="63.2"/>
  </r>
  <r>
    <x v="115"/>
    <d v="2025-01-11T00:00:00"/>
    <x v="0"/>
    <x v="1"/>
    <x v="1"/>
    <x v="1"/>
    <s v="Free"/>
    <n v="0"/>
    <n v="0"/>
    <n v="0"/>
    <n v="0"/>
    <n v="0"/>
    <n v="0"/>
    <n v="0"/>
    <m/>
    <n v="71.900000000000006"/>
  </r>
  <r>
    <x v="116"/>
    <d v="2025-04-11T00:00:00"/>
    <x v="0"/>
    <x v="0"/>
    <x v="1"/>
    <x v="3"/>
    <s v="Free"/>
    <n v="0"/>
    <n v="0"/>
    <n v="0"/>
    <n v="0"/>
    <n v="0"/>
    <n v="0"/>
    <n v="0"/>
    <m/>
    <n v="62.7"/>
  </r>
  <r>
    <x v="117"/>
    <d v="2025-01-02T00:00:00"/>
    <x v="0"/>
    <x v="1"/>
    <x v="1"/>
    <x v="2"/>
    <s v="Free"/>
    <n v="1"/>
    <n v="0"/>
    <n v="0"/>
    <n v="0"/>
    <n v="0"/>
    <n v="0"/>
    <n v="0"/>
    <m/>
    <n v="51.5"/>
  </r>
  <r>
    <x v="118"/>
    <d v="2025-03-18T00:00:00"/>
    <x v="0"/>
    <x v="2"/>
    <x v="1"/>
    <x v="4"/>
    <s v="Free"/>
    <n v="1"/>
    <n v="1"/>
    <n v="1"/>
    <n v="0"/>
    <n v="0"/>
    <n v="0"/>
    <n v="0"/>
    <m/>
    <n v="39.1"/>
  </r>
  <r>
    <x v="119"/>
    <d v="2025-03-31T00:00:00"/>
    <x v="0"/>
    <x v="0"/>
    <x v="1"/>
    <x v="0"/>
    <s v="Free"/>
    <n v="1"/>
    <n v="0"/>
    <n v="0"/>
    <n v="0"/>
    <n v="0"/>
    <n v="0"/>
    <n v="0"/>
    <m/>
    <n v="43.8"/>
  </r>
  <r>
    <x v="120"/>
    <d v="2025-01-06T00:00:00"/>
    <x v="0"/>
    <x v="0"/>
    <x v="1"/>
    <x v="2"/>
    <s v="Basic"/>
    <n v="1"/>
    <n v="0"/>
    <n v="0"/>
    <n v="0"/>
    <n v="0"/>
    <n v="0"/>
    <n v="0"/>
    <m/>
    <n v="59.9"/>
  </r>
  <r>
    <x v="121"/>
    <d v="2025-01-26T00:00:00"/>
    <x v="0"/>
    <x v="0"/>
    <x v="1"/>
    <x v="3"/>
    <s v="Free"/>
    <n v="1"/>
    <n v="1"/>
    <n v="0"/>
    <n v="0"/>
    <n v="0"/>
    <n v="0"/>
    <n v="0"/>
    <m/>
    <n v="71.400000000000006"/>
  </r>
  <r>
    <x v="122"/>
    <d v="2025-04-22T00:00:00"/>
    <x v="0"/>
    <x v="3"/>
    <x v="1"/>
    <x v="3"/>
    <s v="Basic"/>
    <n v="0"/>
    <n v="0"/>
    <n v="0"/>
    <n v="0"/>
    <n v="0"/>
    <n v="0"/>
    <n v="0"/>
    <m/>
    <n v="36.1"/>
  </r>
  <r>
    <x v="123"/>
    <d v="2025-05-30T00:00:00"/>
    <x v="0"/>
    <x v="1"/>
    <x v="3"/>
    <x v="0"/>
    <s v="Basic"/>
    <n v="1"/>
    <n v="1"/>
    <n v="0"/>
    <n v="0"/>
    <n v="0"/>
    <n v="0"/>
    <n v="0"/>
    <m/>
    <n v="47.9"/>
  </r>
  <r>
    <x v="124"/>
    <d v="2025-05-18T00:00:00"/>
    <x v="0"/>
    <x v="1"/>
    <x v="0"/>
    <x v="1"/>
    <s v="Premium"/>
    <n v="1"/>
    <n v="0"/>
    <n v="0"/>
    <n v="0"/>
    <n v="0"/>
    <n v="0"/>
    <n v="0"/>
    <m/>
    <n v="62.5"/>
  </r>
  <r>
    <x v="125"/>
    <d v="2025-01-13T00:00:00"/>
    <x v="0"/>
    <x v="3"/>
    <x v="0"/>
    <x v="2"/>
    <s v="Premium"/>
    <n v="1"/>
    <n v="0"/>
    <n v="0"/>
    <n v="0"/>
    <n v="0"/>
    <n v="0"/>
    <n v="0"/>
    <m/>
    <n v="56.9"/>
  </r>
  <r>
    <x v="126"/>
    <d v="2025-03-25T00:00:00"/>
    <x v="0"/>
    <x v="0"/>
    <x v="0"/>
    <x v="0"/>
    <s v="Free"/>
    <n v="0"/>
    <n v="0"/>
    <n v="0"/>
    <n v="0"/>
    <n v="0"/>
    <n v="0"/>
    <n v="0"/>
    <m/>
    <n v="64.7"/>
  </r>
  <r>
    <x v="127"/>
    <d v="2025-04-29T00:00:00"/>
    <x v="0"/>
    <x v="3"/>
    <x v="0"/>
    <x v="1"/>
    <s v="Free"/>
    <n v="1"/>
    <n v="1"/>
    <n v="1"/>
    <n v="0"/>
    <n v="0"/>
    <n v="0"/>
    <n v="0"/>
    <m/>
    <n v="64"/>
  </r>
  <r>
    <x v="128"/>
    <d v="2025-05-17T00:00:00"/>
    <x v="0"/>
    <x v="2"/>
    <x v="1"/>
    <x v="3"/>
    <s v="Basic"/>
    <n v="1"/>
    <n v="1"/>
    <n v="1"/>
    <n v="0"/>
    <n v="0"/>
    <n v="0"/>
    <n v="0"/>
    <m/>
    <n v="75.2"/>
  </r>
  <r>
    <x v="129"/>
    <d v="2025-01-02T00:00:00"/>
    <x v="0"/>
    <x v="0"/>
    <x v="1"/>
    <x v="2"/>
    <s v="Free"/>
    <n v="1"/>
    <n v="0"/>
    <n v="0"/>
    <n v="0"/>
    <n v="0"/>
    <n v="1"/>
    <n v="0"/>
    <m/>
    <n v="79"/>
  </r>
  <r>
    <x v="130"/>
    <d v="2025-02-03T00:00:00"/>
    <x v="0"/>
    <x v="3"/>
    <x v="1"/>
    <x v="1"/>
    <s v="Free"/>
    <n v="0"/>
    <n v="0"/>
    <n v="0"/>
    <n v="0"/>
    <n v="0"/>
    <n v="0"/>
    <n v="0"/>
    <m/>
    <n v="33"/>
  </r>
  <r>
    <x v="131"/>
    <d v="2025-03-04T00:00:00"/>
    <x v="0"/>
    <x v="2"/>
    <x v="1"/>
    <x v="1"/>
    <s v="Free"/>
    <n v="1"/>
    <n v="0"/>
    <n v="0"/>
    <n v="0"/>
    <n v="0"/>
    <n v="0"/>
    <n v="0"/>
    <m/>
    <n v="67.900000000000006"/>
  </r>
  <r>
    <x v="132"/>
    <d v="2025-01-26T00:00:00"/>
    <x v="0"/>
    <x v="3"/>
    <x v="1"/>
    <x v="2"/>
    <s v="Basic"/>
    <n v="0"/>
    <n v="0"/>
    <n v="0"/>
    <n v="0"/>
    <n v="0"/>
    <n v="0"/>
    <n v="0"/>
    <m/>
    <n v="42.2"/>
  </r>
  <r>
    <x v="133"/>
    <d v="2025-05-12T00:00:00"/>
    <x v="0"/>
    <x v="1"/>
    <x v="1"/>
    <x v="2"/>
    <s v="Basic"/>
    <n v="1"/>
    <n v="1"/>
    <n v="1"/>
    <n v="0"/>
    <n v="0"/>
    <n v="0"/>
    <n v="0"/>
    <m/>
    <n v="43.4"/>
  </r>
  <r>
    <x v="134"/>
    <d v="2025-03-06T00:00:00"/>
    <x v="0"/>
    <x v="0"/>
    <x v="1"/>
    <x v="1"/>
    <s v="Basic"/>
    <n v="0"/>
    <n v="0"/>
    <n v="0"/>
    <n v="0"/>
    <n v="0"/>
    <n v="0"/>
    <n v="0"/>
    <m/>
    <n v="54.4"/>
  </r>
  <r>
    <x v="135"/>
    <d v="2025-03-10T00:00:00"/>
    <x v="0"/>
    <x v="3"/>
    <x v="0"/>
    <x v="0"/>
    <s v="Premium"/>
    <n v="0"/>
    <n v="0"/>
    <n v="0"/>
    <n v="0"/>
    <n v="0"/>
    <n v="0"/>
    <n v="0"/>
    <m/>
    <n v="45.7"/>
  </r>
  <r>
    <x v="136"/>
    <d v="2025-05-06T00:00:00"/>
    <x v="0"/>
    <x v="0"/>
    <x v="1"/>
    <x v="2"/>
    <s v="Free"/>
    <n v="0"/>
    <n v="0"/>
    <n v="0"/>
    <n v="0"/>
    <n v="0"/>
    <n v="3"/>
    <n v="0"/>
    <m/>
    <n v="32"/>
  </r>
  <r>
    <x v="137"/>
    <d v="2025-02-23T00:00:00"/>
    <x v="0"/>
    <x v="3"/>
    <x v="0"/>
    <x v="2"/>
    <s v="Free"/>
    <n v="1"/>
    <n v="0"/>
    <n v="0"/>
    <n v="0"/>
    <n v="0"/>
    <n v="0"/>
    <n v="0"/>
    <m/>
    <n v="70.900000000000006"/>
  </r>
  <r>
    <x v="138"/>
    <d v="2025-01-29T00:00:00"/>
    <x v="0"/>
    <x v="1"/>
    <x v="1"/>
    <x v="4"/>
    <s v="Basic"/>
    <n v="1"/>
    <n v="1"/>
    <n v="1"/>
    <n v="0"/>
    <n v="0"/>
    <n v="0"/>
    <n v="0"/>
    <m/>
    <n v="59.1"/>
  </r>
  <r>
    <x v="139"/>
    <d v="2025-01-31T00:00:00"/>
    <x v="0"/>
    <x v="0"/>
    <x v="1"/>
    <x v="1"/>
    <s v="Basic"/>
    <n v="0"/>
    <n v="0"/>
    <n v="0"/>
    <n v="0"/>
    <n v="0"/>
    <n v="0"/>
    <n v="0"/>
    <m/>
    <n v="62.4"/>
  </r>
  <r>
    <x v="140"/>
    <d v="2025-01-19T00:00:00"/>
    <x v="0"/>
    <x v="3"/>
    <x v="1"/>
    <x v="1"/>
    <s v="Free"/>
    <n v="0"/>
    <n v="0"/>
    <n v="0"/>
    <n v="0"/>
    <n v="0"/>
    <n v="0"/>
    <n v="0"/>
    <m/>
    <n v="49.6"/>
  </r>
  <r>
    <x v="141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x v="142"/>
    <d v="2025-04-07T00:00:00"/>
    <x v="0"/>
    <x v="0"/>
    <x v="1"/>
    <x v="2"/>
    <s v="Free"/>
    <n v="1"/>
    <n v="0"/>
    <n v="0"/>
    <n v="0"/>
    <n v="0"/>
    <n v="0"/>
    <n v="0"/>
    <m/>
    <n v="47.9"/>
  </r>
  <r>
    <x v="143"/>
    <d v="2025-01-06T00:00:00"/>
    <x v="0"/>
    <x v="2"/>
    <x v="1"/>
    <x v="2"/>
    <s v="Basic"/>
    <n v="1"/>
    <n v="1"/>
    <n v="0"/>
    <n v="0"/>
    <n v="0"/>
    <n v="0"/>
    <n v="0"/>
    <m/>
    <n v="54.8"/>
  </r>
  <r>
    <x v="144"/>
    <d v="2025-04-11T00:00:00"/>
    <x v="0"/>
    <x v="2"/>
    <x v="1"/>
    <x v="1"/>
    <s v="Free"/>
    <n v="1"/>
    <n v="0"/>
    <n v="0"/>
    <n v="0"/>
    <n v="0"/>
    <n v="1"/>
    <n v="0"/>
    <m/>
    <n v="53.9"/>
  </r>
  <r>
    <x v="145"/>
    <d v="2025-04-23T00:00:00"/>
    <x v="0"/>
    <x v="2"/>
    <x v="1"/>
    <x v="2"/>
    <s v="Free"/>
    <n v="1"/>
    <n v="0"/>
    <n v="0"/>
    <n v="0"/>
    <n v="0"/>
    <n v="0"/>
    <n v="0"/>
    <m/>
    <n v="41.3"/>
  </r>
  <r>
    <x v="146"/>
    <d v="2025-03-25T00:00:00"/>
    <x v="0"/>
    <x v="1"/>
    <x v="1"/>
    <x v="1"/>
    <s v="Basic"/>
    <n v="1"/>
    <n v="1"/>
    <n v="0"/>
    <n v="0"/>
    <n v="0"/>
    <n v="0"/>
    <n v="0"/>
    <m/>
    <n v="38.9"/>
  </r>
  <r>
    <x v="147"/>
    <d v="2025-05-25T00:00:00"/>
    <x v="0"/>
    <x v="3"/>
    <x v="0"/>
    <x v="1"/>
    <s v="Basic"/>
    <n v="1"/>
    <n v="0"/>
    <n v="0"/>
    <n v="0"/>
    <n v="0"/>
    <n v="0"/>
    <n v="0"/>
    <m/>
    <n v="63.6"/>
  </r>
  <r>
    <x v="148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x v="150"/>
    <d v="2025-04-29T00:00:00"/>
    <x v="0"/>
    <x v="0"/>
    <x v="1"/>
    <x v="4"/>
    <s v="Premium"/>
    <n v="1"/>
    <n v="0"/>
    <n v="0"/>
    <n v="0"/>
    <n v="0"/>
    <n v="0"/>
    <n v="0"/>
    <m/>
    <n v="43.1"/>
  </r>
  <r>
    <x v="151"/>
    <d v="2025-03-13T00:00:00"/>
    <x v="0"/>
    <x v="3"/>
    <x v="1"/>
    <x v="0"/>
    <s v="Free"/>
    <n v="1"/>
    <n v="0"/>
    <n v="0"/>
    <n v="0"/>
    <n v="0"/>
    <n v="0"/>
    <n v="0"/>
    <m/>
    <n v="58.3"/>
  </r>
  <r>
    <x v="152"/>
    <d v="2025-02-04T00:00:00"/>
    <x v="0"/>
    <x v="2"/>
    <x v="0"/>
    <x v="2"/>
    <s v="Free"/>
    <n v="1"/>
    <n v="0"/>
    <n v="0"/>
    <n v="0"/>
    <n v="0"/>
    <n v="0"/>
    <n v="0"/>
    <m/>
    <n v="69.8"/>
  </r>
  <r>
    <x v="153"/>
    <d v="2025-03-04T00:00:00"/>
    <x v="0"/>
    <x v="3"/>
    <x v="1"/>
    <x v="3"/>
    <s v="Free"/>
    <n v="1"/>
    <n v="1"/>
    <n v="0"/>
    <n v="0"/>
    <n v="0"/>
    <n v="0"/>
    <n v="0"/>
    <m/>
    <m/>
  </r>
  <r>
    <x v="154"/>
    <d v="2025-02-04T00:00:00"/>
    <x v="0"/>
    <x v="1"/>
    <x v="1"/>
    <x v="2"/>
    <s v="Basic"/>
    <n v="1"/>
    <n v="1"/>
    <n v="0"/>
    <n v="0"/>
    <n v="0"/>
    <n v="0"/>
    <n v="0"/>
    <m/>
    <n v="41.9"/>
  </r>
  <r>
    <x v="155"/>
    <d v="2025-03-11T00:00:00"/>
    <x v="0"/>
    <x v="0"/>
    <x v="0"/>
    <x v="1"/>
    <s v="Free"/>
    <n v="0"/>
    <n v="0"/>
    <n v="0"/>
    <n v="0"/>
    <n v="0"/>
    <n v="0"/>
    <n v="0"/>
    <m/>
    <n v="33.1"/>
  </r>
  <r>
    <x v="156"/>
    <d v="2025-04-22T00:00:00"/>
    <x v="0"/>
    <x v="1"/>
    <x v="1"/>
    <x v="1"/>
    <s v="Free"/>
    <n v="0"/>
    <n v="0"/>
    <n v="0"/>
    <n v="0"/>
    <n v="0"/>
    <n v="0"/>
    <n v="0"/>
    <m/>
    <n v="58.6"/>
  </r>
  <r>
    <x v="157"/>
    <d v="2025-03-08T00:00:00"/>
    <x v="0"/>
    <x v="0"/>
    <x v="0"/>
    <x v="2"/>
    <s v="Free"/>
    <n v="0"/>
    <n v="0"/>
    <n v="0"/>
    <n v="0"/>
    <n v="0"/>
    <n v="0"/>
    <n v="0"/>
    <m/>
    <n v="55.7"/>
  </r>
  <r>
    <x v="158"/>
    <d v="2025-03-10T00:00:00"/>
    <x v="0"/>
    <x v="2"/>
    <x v="1"/>
    <x v="1"/>
    <s v="Free"/>
    <n v="0"/>
    <n v="0"/>
    <n v="0"/>
    <n v="0"/>
    <n v="0"/>
    <n v="2"/>
    <n v="0"/>
    <m/>
    <n v="64.900000000000006"/>
  </r>
  <r>
    <x v="159"/>
    <d v="2025-05-18T00:00:00"/>
    <x v="0"/>
    <x v="0"/>
    <x v="0"/>
    <x v="2"/>
    <s v="Basic"/>
    <n v="0"/>
    <n v="0"/>
    <n v="0"/>
    <n v="0"/>
    <n v="0"/>
    <n v="0"/>
    <n v="0"/>
    <m/>
    <n v="72.3"/>
  </r>
  <r>
    <x v="160"/>
    <d v="2025-05-14T00:00:00"/>
    <x v="0"/>
    <x v="0"/>
    <x v="1"/>
    <x v="4"/>
    <s v="Basic"/>
    <n v="0"/>
    <n v="0"/>
    <n v="0"/>
    <n v="0"/>
    <n v="0"/>
    <n v="0"/>
    <n v="0"/>
    <m/>
    <n v="42.1"/>
  </r>
  <r>
    <x v="161"/>
    <d v="2025-02-01T00:00:00"/>
    <x v="0"/>
    <x v="0"/>
    <x v="1"/>
    <x v="1"/>
    <s v="Free"/>
    <n v="0"/>
    <n v="0"/>
    <n v="0"/>
    <n v="0"/>
    <n v="0"/>
    <n v="0"/>
    <n v="0"/>
    <m/>
    <m/>
  </r>
  <r>
    <x v="162"/>
    <d v="2025-04-11T00:00:00"/>
    <x v="0"/>
    <x v="3"/>
    <x v="1"/>
    <x v="1"/>
    <s v="Basic"/>
    <n v="0"/>
    <n v="0"/>
    <n v="0"/>
    <n v="0"/>
    <n v="0"/>
    <n v="1"/>
    <n v="0"/>
    <m/>
    <n v="64.8"/>
  </r>
  <r>
    <x v="163"/>
    <d v="2025-02-14T00:00:00"/>
    <x v="0"/>
    <x v="2"/>
    <x v="1"/>
    <x v="1"/>
    <s v="Free"/>
    <n v="0"/>
    <n v="0"/>
    <n v="0"/>
    <n v="0"/>
    <n v="0"/>
    <n v="0"/>
    <n v="0"/>
    <m/>
    <n v="72.099999999999994"/>
  </r>
  <r>
    <x v="164"/>
    <d v="2025-05-19T00:00:00"/>
    <x v="0"/>
    <x v="2"/>
    <x v="1"/>
    <x v="4"/>
    <s v="Free"/>
    <n v="1"/>
    <n v="0"/>
    <n v="0"/>
    <n v="0"/>
    <n v="0"/>
    <n v="0"/>
    <n v="0"/>
    <m/>
    <n v="50.6"/>
  </r>
  <r>
    <x v="165"/>
    <d v="2025-04-26T00:00:00"/>
    <x v="0"/>
    <x v="0"/>
    <x v="0"/>
    <x v="2"/>
    <s v="Basic"/>
    <n v="1"/>
    <n v="1"/>
    <n v="1"/>
    <n v="1"/>
    <n v="1281.25"/>
    <n v="1"/>
    <n v="0"/>
    <n v="9"/>
    <n v="43.4"/>
  </r>
  <r>
    <x v="166"/>
    <d v="2025-04-06T00:00:00"/>
    <x v="0"/>
    <x v="3"/>
    <x v="1"/>
    <x v="4"/>
    <s v="Free"/>
    <n v="1"/>
    <n v="0"/>
    <n v="0"/>
    <n v="0"/>
    <n v="0"/>
    <n v="0"/>
    <n v="0"/>
    <m/>
    <n v="59.7"/>
  </r>
  <r>
    <x v="167"/>
    <d v="2025-03-06T00:00:00"/>
    <x v="0"/>
    <x v="3"/>
    <x v="1"/>
    <x v="2"/>
    <s v="Free"/>
    <n v="1"/>
    <n v="0"/>
    <n v="0"/>
    <n v="0"/>
    <n v="0"/>
    <n v="1"/>
    <n v="0"/>
    <m/>
    <m/>
  </r>
  <r>
    <x v="168"/>
    <d v="2025-03-10T00:00:00"/>
    <x v="0"/>
    <x v="1"/>
    <x v="1"/>
    <x v="4"/>
    <s v="Basic"/>
    <n v="0"/>
    <n v="0"/>
    <n v="0"/>
    <n v="0"/>
    <n v="0"/>
    <n v="0"/>
    <n v="0"/>
    <m/>
    <n v="54.5"/>
  </r>
  <r>
    <x v="169"/>
    <d v="2025-03-30T00:00:00"/>
    <x v="0"/>
    <x v="0"/>
    <x v="1"/>
    <x v="1"/>
    <s v="Free"/>
    <n v="1"/>
    <n v="0"/>
    <n v="0"/>
    <n v="0"/>
    <n v="0"/>
    <n v="0"/>
    <n v="0"/>
    <m/>
    <n v="71.099999999999994"/>
  </r>
  <r>
    <x v="170"/>
    <d v="2025-05-29T00:00:00"/>
    <x v="0"/>
    <x v="2"/>
    <x v="3"/>
    <x v="2"/>
    <s v="Free"/>
    <n v="1"/>
    <n v="1"/>
    <n v="1"/>
    <n v="0"/>
    <n v="0"/>
    <n v="0"/>
    <n v="0"/>
    <m/>
    <n v="44.4"/>
  </r>
  <r>
    <x v="171"/>
    <d v="2025-03-23T00:00:00"/>
    <x v="0"/>
    <x v="0"/>
    <x v="1"/>
    <x v="1"/>
    <s v="Free"/>
    <n v="1"/>
    <n v="0"/>
    <n v="0"/>
    <n v="0"/>
    <n v="0"/>
    <n v="0"/>
    <n v="0"/>
    <m/>
    <n v="61.7"/>
  </r>
  <r>
    <x v="172"/>
    <d v="2025-02-18T00:00:00"/>
    <x v="0"/>
    <x v="0"/>
    <x v="2"/>
    <x v="1"/>
    <s v="Basic"/>
    <n v="0"/>
    <n v="0"/>
    <n v="0"/>
    <n v="0"/>
    <n v="0"/>
    <n v="1"/>
    <n v="0"/>
    <m/>
    <n v="81.3"/>
  </r>
  <r>
    <x v="173"/>
    <d v="2025-01-26T00:00:00"/>
    <x v="0"/>
    <x v="0"/>
    <x v="0"/>
    <x v="0"/>
    <s v="Free"/>
    <n v="1"/>
    <n v="0"/>
    <n v="0"/>
    <n v="0"/>
    <n v="0"/>
    <n v="2"/>
    <n v="0"/>
    <m/>
    <n v="28.7"/>
  </r>
  <r>
    <x v="174"/>
    <d v="2025-04-23T00:00:00"/>
    <x v="0"/>
    <x v="2"/>
    <x v="1"/>
    <x v="4"/>
    <s v="Basic"/>
    <n v="0"/>
    <n v="0"/>
    <n v="0"/>
    <n v="0"/>
    <n v="0"/>
    <n v="0"/>
    <n v="0"/>
    <m/>
    <n v="53"/>
  </r>
  <r>
    <x v="175"/>
    <d v="2025-03-16T00:00:00"/>
    <x v="0"/>
    <x v="3"/>
    <x v="2"/>
    <x v="3"/>
    <s v="Basic"/>
    <n v="1"/>
    <n v="0"/>
    <n v="0"/>
    <n v="0"/>
    <n v="0"/>
    <n v="0"/>
    <n v="0"/>
    <m/>
    <n v="54.9"/>
  </r>
  <r>
    <x v="176"/>
    <d v="2025-04-29T00:00:00"/>
    <x v="0"/>
    <x v="1"/>
    <x v="1"/>
    <x v="1"/>
    <s v="Basic"/>
    <n v="1"/>
    <n v="0"/>
    <n v="0"/>
    <n v="0"/>
    <n v="0"/>
    <n v="0"/>
    <n v="0"/>
    <m/>
    <n v="58.2"/>
  </r>
  <r>
    <x v="177"/>
    <d v="2025-04-06T00:00:00"/>
    <x v="0"/>
    <x v="0"/>
    <x v="1"/>
    <x v="1"/>
    <s v="Free"/>
    <n v="0"/>
    <n v="0"/>
    <n v="0"/>
    <n v="0"/>
    <n v="0"/>
    <n v="0"/>
    <n v="0"/>
    <m/>
    <n v="80.599999999999994"/>
  </r>
  <r>
    <x v="178"/>
    <d v="2025-04-17T00:00:00"/>
    <x v="0"/>
    <x v="0"/>
    <x v="0"/>
    <x v="3"/>
    <s v="Premium"/>
    <n v="1"/>
    <n v="1"/>
    <n v="1"/>
    <n v="0"/>
    <n v="0"/>
    <n v="0"/>
    <n v="0"/>
    <m/>
    <n v="38.4"/>
  </r>
  <r>
    <x v="179"/>
    <d v="2025-04-03T00:00:00"/>
    <x v="0"/>
    <x v="3"/>
    <x v="1"/>
    <x v="2"/>
    <s v="Free"/>
    <n v="1"/>
    <n v="0"/>
    <n v="0"/>
    <n v="0"/>
    <n v="0"/>
    <n v="0"/>
    <n v="0"/>
    <m/>
    <n v="56.1"/>
  </r>
  <r>
    <x v="180"/>
    <d v="2025-04-25T00:00:00"/>
    <x v="0"/>
    <x v="1"/>
    <x v="1"/>
    <x v="2"/>
    <s v="Free"/>
    <n v="0"/>
    <n v="0"/>
    <n v="0"/>
    <n v="0"/>
    <n v="0"/>
    <n v="0"/>
    <n v="0"/>
    <m/>
    <n v="62.6"/>
  </r>
  <r>
    <x v="181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x v="182"/>
    <d v="2025-03-12T00:00:00"/>
    <x v="0"/>
    <x v="3"/>
    <x v="1"/>
    <x v="2"/>
    <s v="Free"/>
    <n v="1"/>
    <n v="0"/>
    <n v="0"/>
    <n v="0"/>
    <n v="0"/>
    <n v="0"/>
    <n v="0"/>
    <m/>
    <n v="52.1"/>
  </r>
  <r>
    <x v="183"/>
    <d v="2025-05-04T00:00:00"/>
    <x v="0"/>
    <x v="3"/>
    <x v="1"/>
    <x v="1"/>
    <s v="Free"/>
    <n v="1"/>
    <n v="0"/>
    <n v="0"/>
    <n v="0"/>
    <n v="0"/>
    <n v="0"/>
    <n v="0"/>
    <m/>
    <n v="45.1"/>
  </r>
  <r>
    <x v="184"/>
    <d v="2025-02-07T00:00:00"/>
    <x v="0"/>
    <x v="3"/>
    <x v="2"/>
    <x v="2"/>
    <s v="Premium"/>
    <n v="0"/>
    <n v="0"/>
    <n v="0"/>
    <n v="0"/>
    <n v="0"/>
    <n v="0"/>
    <n v="0"/>
    <m/>
    <n v="67.5"/>
  </r>
  <r>
    <x v="185"/>
    <d v="2025-04-28T00:00:00"/>
    <x v="0"/>
    <x v="2"/>
    <x v="2"/>
    <x v="0"/>
    <s v="Basic"/>
    <n v="1"/>
    <n v="1"/>
    <n v="1"/>
    <n v="0"/>
    <n v="0"/>
    <n v="0"/>
    <n v="0"/>
    <m/>
    <n v="80"/>
  </r>
  <r>
    <x v="186"/>
    <d v="2025-05-15T00:00:00"/>
    <x v="0"/>
    <x v="2"/>
    <x v="0"/>
    <x v="3"/>
    <s v="Free"/>
    <n v="0"/>
    <n v="0"/>
    <n v="0"/>
    <n v="0"/>
    <n v="0"/>
    <n v="0"/>
    <n v="0"/>
    <m/>
    <n v="56.4"/>
  </r>
  <r>
    <x v="187"/>
    <d v="2025-01-18T00:00:00"/>
    <x v="0"/>
    <x v="1"/>
    <x v="1"/>
    <x v="2"/>
    <s v="Basic"/>
    <n v="0"/>
    <n v="0"/>
    <n v="0"/>
    <n v="0"/>
    <n v="0"/>
    <n v="0"/>
    <n v="0"/>
    <m/>
    <n v="55.4"/>
  </r>
  <r>
    <x v="188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x v="189"/>
    <d v="2025-02-18T00:00:00"/>
    <x v="0"/>
    <x v="0"/>
    <x v="2"/>
    <x v="0"/>
    <s v="Free"/>
    <n v="1"/>
    <n v="0"/>
    <n v="0"/>
    <n v="0"/>
    <n v="0"/>
    <n v="0"/>
    <n v="0"/>
    <m/>
    <n v="62.5"/>
  </r>
  <r>
    <x v="190"/>
    <d v="2025-01-30T00:00:00"/>
    <x v="0"/>
    <x v="3"/>
    <x v="0"/>
    <x v="0"/>
    <s v="Basic"/>
    <n v="1"/>
    <n v="1"/>
    <n v="1"/>
    <n v="0"/>
    <n v="0"/>
    <n v="0"/>
    <n v="0"/>
    <m/>
    <n v="54.3"/>
  </r>
  <r>
    <x v="191"/>
    <d v="2025-02-09T00:00:00"/>
    <x v="0"/>
    <x v="3"/>
    <x v="0"/>
    <x v="1"/>
    <s v="Basic"/>
    <n v="1"/>
    <n v="0"/>
    <n v="0"/>
    <n v="0"/>
    <n v="0"/>
    <n v="0"/>
    <n v="0"/>
    <m/>
    <n v="37.5"/>
  </r>
  <r>
    <x v="192"/>
    <d v="2025-03-16T00:00:00"/>
    <x v="0"/>
    <x v="1"/>
    <x v="1"/>
    <x v="2"/>
    <s v="Basic"/>
    <n v="1"/>
    <n v="0"/>
    <n v="0"/>
    <n v="0"/>
    <n v="0"/>
    <n v="0"/>
    <n v="0"/>
    <m/>
    <n v="52.6"/>
  </r>
  <r>
    <x v="193"/>
    <d v="2025-05-19T00:00:00"/>
    <x v="0"/>
    <x v="0"/>
    <x v="1"/>
    <x v="2"/>
    <s v="Free"/>
    <n v="1"/>
    <n v="0"/>
    <n v="0"/>
    <n v="0"/>
    <n v="0"/>
    <n v="0"/>
    <n v="0"/>
    <m/>
    <n v="46.1"/>
  </r>
  <r>
    <x v="194"/>
    <d v="2025-05-16T00:00:00"/>
    <x v="0"/>
    <x v="3"/>
    <x v="0"/>
    <x v="1"/>
    <s v="Basic"/>
    <n v="1"/>
    <n v="0"/>
    <n v="0"/>
    <n v="0"/>
    <n v="0"/>
    <n v="0"/>
    <n v="0"/>
    <m/>
    <n v="54.7"/>
  </r>
  <r>
    <x v="195"/>
    <d v="2025-04-25T00:00:00"/>
    <x v="0"/>
    <x v="1"/>
    <x v="0"/>
    <x v="3"/>
    <s v="Basic"/>
    <n v="0"/>
    <n v="0"/>
    <n v="0"/>
    <n v="0"/>
    <n v="0"/>
    <n v="0"/>
    <n v="0"/>
    <m/>
    <n v="74.2"/>
  </r>
  <r>
    <x v="196"/>
    <d v="2025-02-27T00:00:00"/>
    <x v="0"/>
    <x v="0"/>
    <x v="1"/>
    <x v="4"/>
    <s v="Basic"/>
    <n v="1"/>
    <n v="1"/>
    <n v="1"/>
    <n v="1"/>
    <n v="1052.8"/>
    <n v="2"/>
    <n v="0"/>
    <n v="6"/>
    <n v="64.7"/>
  </r>
  <r>
    <x v="197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x v="198"/>
    <d v="2025-05-14T00:00:00"/>
    <x v="0"/>
    <x v="0"/>
    <x v="1"/>
    <x v="1"/>
    <s v="Basic"/>
    <n v="1"/>
    <n v="0"/>
    <n v="0"/>
    <n v="0"/>
    <n v="0"/>
    <n v="0"/>
    <n v="0"/>
    <m/>
    <n v="64"/>
  </r>
  <r>
    <x v="199"/>
    <d v="2025-03-05T00:00:00"/>
    <x v="0"/>
    <x v="0"/>
    <x v="1"/>
    <x v="1"/>
    <s v="Premium"/>
    <n v="1"/>
    <n v="0"/>
    <n v="0"/>
    <n v="0"/>
    <n v="0"/>
    <n v="0"/>
    <n v="0"/>
    <m/>
    <n v="57.2"/>
  </r>
  <r>
    <x v="200"/>
    <d v="2025-04-02T00:00:00"/>
    <x v="0"/>
    <x v="1"/>
    <x v="0"/>
    <x v="1"/>
    <s v="Free"/>
    <n v="1"/>
    <n v="0"/>
    <n v="0"/>
    <n v="0"/>
    <n v="0"/>
    <n v="0"/>
    <n v="0"/>
    <m/>
    <n v="80.5"/>
  </r>
  <r>
    <x v="201"/>
    <d v="2025-05-14T00:00:00"/>
    <x v="0"/>
    <x v="3"/>
    <x v="2"/>
    <x v="1"/>
    <s v="Free"/>
    <n v="0"/>
    <n v="0"/>
    <n v="0"/>
    <n v="0"/>
    <n v="0"/>
    <n v="0"/>
    <n v="0"/>
    <m/>
    <n v="53.9"/>
  </r>
  <r>
    <x v="202"/>
    <d v="2025-05-21T00:00:00"/>
    <x v="0"/>
    <x v="0"/>
    <x v="1"/>
    <x v="2"/>
    <s v="Free"/>
    <n v="1"/>
    <n v="1"/>
    <n v="0"/>
    <n v="0"/>
    <n v="0"/>
    <n v="0"/>
    <n v="0"/>
    <m/>
    <n v="77.5"/>
  </r>
  <r>
    <x v="203"/>
    <d v="2025-01-27T00:00:00"/>
    <x v="0"/>
    <x v="2"/>
    <x v="1"/>
    <x v="4"/>
    <s v="Basic"/>
    <n v="0"/>
    <n v="0"/>
    <n v="0"/>
    <n v="0"/>
    <n v="0"/>
    <n v="0"/>
    <n v="0"/>
    <m/>
    <n v="84.2"/>
  </r>
  <r>
    <x v="204"/>
    <d v="2025-05-22T00:00:00"/>
    <x v="0"/>
    <x v="1"/>
    <x v="0"/>
    <x v="1"/>
    <s v="Free"/>
    <n v="1"/>
    <n v="1"/>
    <n v="0"/>
    <n v="0"/>
    <n v="0"/>
    <n v="0"/>
    <n v="0"/>
    <m/>
    <n v="54.9"/>
  </r>
  <r>
    <x v="205"/>
    <d v="2025-05-19T00:00:00"/>
    <x v="0"/>
    <x v="3"/>
    <x v="1"/>
    <x v="2"/>
    <s v="Free"/>
    <n v="0"/>
    <n v="0"/>
    <n v="0"/>
    <n v="0"/>
    <n v="0"/>
    <n v="0"/>
    <n v="0"/>
    <m/>
    <n v="69.3"/>
  </r>
  <r>
    <x v="206"/>
    <d v="2025-01-14T00:00:00"/>
    <x v="0"/>
    <x v="3"/>
    <x v="0"/>
    <x v="2"/>
    <s v="Free"/>
    <n v="1"/>
    <n v="0"/>
    <n v="0"/>
    <n v="0"/>
    <n v="0"/>
    <n v="2"/>
    <n v="0"/>
    <m/>
    <n v="42.3"/>
  </r>
  <r>
    <x v="207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x v="208"/>
    <d v="2025-05-16T00:00:00"/>
    <x v="0"/>
    <x v="2"/>
    <x v="1"/>
    <x v="1"/>
    <s v="Free"/>
    <n v="0"/>
    <n v="0"/>
    <n v="0"/>
    <n v="0"/>
    <n v="0"/>
    <n v="0"/>
    <n v="0"/>
    <m/>
    <n v="40.700000000000003"/>
  </r>
  <r>
    <x v="209"/>
    <d v="2025-02-02T00:00:00"/>
    <x v="0"/>
    <x v="0"/>
    <x v="1"/>
    <x v="0"/>
    <s v="Free"/>
    <n v="1"/>
    <n v="0"/>
    <n v="0"/>
    <n v="0"/>
    <n v="0"/>
    <n v="0"/>
    <n v="0"/>
    <m/>
    <n v="54"/>
  </r>
  <r>
    <x v="210"/>
    <d v="2025-03-23T00:00:00"/>
    <x v="0"/>
    <x v="2"/>
    <x v="3"/>
    <x v="3"/>
    <s v="Free"/>
    <n v="1"/>
    <n v="1"/>
    <n v="1"/>
    <n v="1"/>
    <n v="553.37"/>
    <n v="0"/>
    <n v="0"/>
    <n v="5"/>
    <n v="46.3"/>
  </r>
  <r>
    <x v="211"/>
    <d v="2025-01-24T00:00:00"/>
    <x v="0"/>
    <x v="2"/>
    <x v="1"/>
    <x v="1"/>
    <s v="Free"/>
    <n v="1"/>
    <n v="0"/>
    <n v="0"/>
    <n v="0"/>
    <n v="0"/>
    <n v="0"/>
    <n v="0"/>
    <m/>
    <n v="64.2"/>
  </r>
  <r>
    <x v="212"/>
    <d v="2025-04-12T00:00:00"/>
    <x v="0"/>
    <x v="0"/>
    <x v="0"/>
    <x v="1"/>
    <s v="Free"/>
    <n v="1"/>
    <n v="0"/>
    <n v="0"/>
    <n v="0"/>
    <n v="0"/>
    <n v="0"/>
    <n v="0"/>
    <m/>
    <n v="75.2"/>
  </r>
  <r>
    <x v="213"/>
    <d v="2025-02-18T00:00:00"/>
    <x v="0"/>
    <x v="2"/>
    <x v="0"/>
    <x v="2"/>
    <s v="Free"/>
    <n v="1"/>
    <n v="1"/>
    <n v="0"/>
    <n v="0"/>
    <n v="0"/>
    <n v="0"/>
    <n v="0"/>
    <m/>
    <n v="60.9"/>
  </r>
  <r>
    <x v="214"/>
    <d v="2025-05-28T00:00:00"/>
    <x v="0"/>
    <x v="3"/>
    <x v="1"/>
    <x v="0"/>
    <s v="Basic"/>
    <n v="1"/>
    <n v="1"/>
    <n v="1"/>
    <n v="0"/>
    <n v="0"/>
    <n v="0"/>
    <n v="0"/>
    <m/>
    <n v="62.1"/>
  </r>
  <r>
    <x v="215"/>
    <d v="2025-04-18T00:00:00"/>
    <x v="0"/>
    <x v="3"/>
    <x v="1"/>
    <x v="4"/>
    <s v="Basic"/>
    <n v="0"/>
    <n v="0"/>
    <n v="0"/>
    <n v="0"/>
    <n v="0"/>
    <n v="0"/>
    <n v="0"/>
    <m/>
    <n v="45.4"/>
  </r>
  <r>
    <x v="216"/>
    <d v="2025-03-27T00:00:00"/>
    <x v="0"/>
    <x v="0"/>
    <x v="1"/>
    <x v="2"/>
    <s v="Basic"/>
    <n v="1"/>
    <n v="0"/>
    <n v="0"/>
    <n v="0"/>
    <n v="0"/>
    <n v="0"/>
    <n v="0"/>
    <m/>
    <n v="53.3"/>
  </r>
  <r>
    <x v="217"/>
    <d v="2025-02-25T00:00:00"/>
    <x v="0"/>
    <x v="0"/>
    <x v="2"/>
    <x v="4"/>
    <s v="Free"/>
    <n v="1"/>
    <n v="0"/>
    <n v="0"/>
    <n v="0"/>
    <n v="0"/>
    <n v="0"/>
    <n v="0"/>
    <m/>
    <m/>
  </r>
  <r>
    <x v="218"/>
    <d v="2025-02-19T00:00:00"/>
    <x v="0"/>
    <x v="2"/>
    <x v="1"/>
    <x v="2"/>
    <s v="Free"/>
    <n v="0"/>
    <n v="0"/>
    <n v="0"/>
    <n v="0"/>
    <n v="0"/>
    <n v="1"/>
    <n v="0"/>
    <m/>
    <n v="38.200000000000003"/>
  </r>
  <r>
    <x v="219"/>
    <d v="2025-04-11T00:00:00"/>
    <x v="0"/>
    <x v="1"/>
    <x v="1"/>
    <x v="2"/>
    <s v="Free"/>
    <n v="1"/>
    <n v="1"/>
    <n v="0"/>
    <n v="0"/>
    <n v="0"/>
    <n v="3"/>
    <n v="0"/>
    <m/>
    <n v="59"/>
  </r>
  <r>
    <x v="220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x v="221"/>
    <d v="2025-01-12T00:00:00"/>
    <x v="0"/>
    <x v="3"/>
    <x v="1"/>
    <x v="4"/>
    <s v="Free"/>
    <n v="1"/>
    <n v="0"/>
    <n v="0"/>
    <n v="0"/>
    <n v="0"/>
    <n v="0"/>
    <n v="0"/>
    <m/>
    <n v="67"/>
  </r>
  <r>
    <x v="222"/>
    <d v="2025-02-17T00:00:00"/>
    <x v="0"/>
    <x v="1"/>
    <x v="1"/>
    <x v="0"/>
    <s v="Free"/>
    <n v="1"/>
    <n v="0"/>
    <n v="0"/>
    <n v="0"/>
    <n v="0"/>
    <n v="1"/>
    <n v="0"/>
    <m/>
    <n v="72.099999999999994"/>
  </r>
  <r>
    <x v="223"/>
    <d v="2025-04-11T00:00:00"/>
    <x v="0"/>
    <x v="1"/>
    <x v="0"/>
    <x v="1"/>
    <s v="Free"/>
    <n v="0"/>
    <n v="0"/>
    <n v="0"/>
    <n v="0"/>
    <n v="0"/>
    <n v="0"/>
    <n v="0"/>
    <m/>
    <n v="74.099999999999994"/>
  </r>
  <r>
    <x v="224"/>
    <d v="2025-05-25T00:00:00"/>
    <x v="0"/>
    <x v="3"/>
    <x v="1"/>
    <x v="3"/>
    <s v="Premium"/>
    <n v="0"/>
    <n v="0"/>
    <n v="0"/>
    <n v="0"/>
    <n v="0"/>
    <n v="0"/>
    <n v="0"/>
    <m/>
    <n v="84.8"/>
  </r>
  <r>
    <x v="225"/>
    <d v="2025-03-12T00:00:00"/>
    <x v="0"/>
    <x v="3"/>
    <x v="1"/>
    <x v="1"/>
    <s v="Basic"/>
    <n v="1"/>
    <n v="0"/>
    <n v="0"/>
    <n v="0"/>
    <n v="0"/>
    <n v="0"/>
    <n v="0"/>
    <m/>
    <n v="33"/>
  </r>
  <r>
    <x v="226"/>
    <d v="2025-04-20T00:00:00"/>
    <x v="0"/>
    <x v="0"/>
    <x v="2"/>
    <x v="0"/>
    <s v="Free"/>
    <n v="0"/>
    <n v="0"/>
    <n v="0"/>
    <n v="0"/>
    <n v="0"/>
    <n v="0"/>
    <n v="0"/>
    <m/>
    <n v="52.5"/>
  </r>
  <r>
    <x v="227"/>
    <d v="2025-02-23T00:00:00"/>
    <x v="0"/>
    <x v="0"/>
    <x v="2"/>
    <x v="1"/>
    <s v="Free"/>
    <n v="0"/>
    <n v="0"/>
    <n v="0"/>
    <n v="0"/>
    <n v="0"/>
    <n v="0"/>
    <n v="0"/>
    <m/>
    <n v="66.900000000000006"/>
  </r>
  <r>
    <x v="228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x v="229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x v="230"/>
    <d v="2025-02-17T00:00:00"/>
    <x v="0"/>
    <x v="0"/>
    <x v="1"/>
    <x v="4"/>
    <s v="Free"/>
    <n v="0"/>
    <n v="0"/>
    <n v="0"/>
    <n v="0"/>
    <n v="0"/>
    <n v="0"/>
    <n v="0"/>
    <m/>
    <n v="69.400000000000006"/>
  </r>
  <r>
    <x v="231"/>
    <d v="2025-05-04T00:00:00"/>
    <x v="0"/>
    <x v="0"/>
    <x v="0"/>
    <x v="1"/>
    <s v="Basic"/>
    <n v="1"/>
    <n v="0"/>
    <n v="0"/>
    <n v="0"/>
    <n v="0"/>
    <n v="0"/>
    <n v="0"/>
    <m/>
    <n v="56.1"/>
  </r>
  <r>
    <x v="232"/>
    <d v="2025-01-12T00:00:00"/>
    <x v="0"/>
    <x v="1"/>
    <x v="1"/>
    <x v="1"/>
    <s v="Basic"/>
    <n v="0"/>
    <n v="0"/>
    <n v="0"/>
    <n v="0"/>
    <n v="0"/>
    <n v="0"/>
    <n v="0"/>
    <m/>
    <n v="55.8"/>
  </r>
  <r>
    <x v="233"/>
    <d v="2025-04-28T00:00:00"/>
    <x v="0"/>
    <x v="0"/>
    <x v="2"/>
    <x v="1"/>
    <s v="Free"/>
    <n v="0"/>
    <n v="0"/>
    <n v="0"/>
    <n v="0"/>
    <n v="0"/>
    <n v="0"/>
    <n v="0"/>
    <m/>
    <n v="49.3"/>
  </r>
  <r>
    <x v="234"/>
    <d v="2025-02-26T00:00:00"/>
    <x v="0"/>
    <x v="0"/>
    <x v="1"/>
    <x v="1"/>
    <s v="Free"/>
    <n v="0"/>
    <n v="0"/>
    <n v="0"/>
    <n v="0"/>
    <n v="0"/>
    <n v="0"/>
    <n v="0"/>
    <m/>
    <n v="71.8"/>
  </r>
  <r>
    <x v="235"/>
    <d v="2025-03-18T00:00:00"/>
    <x v="0"/>
    <x v="1"/>
    <x v="1"/>
    <x v="4"/>
    <s v="Free"/>
    <n v="1"/>
    <n v="0"/>
    <n v="0"/>
    <n v="0"/>
    <n v="0"/>
    <n v="3"/>
    <n v="0"/>
    <m/>
    <n v="39.700000000000003"/>
  </r>
  <r>
    <x v="236"/>
    <d v="2025-03-01T00:00:00"/>
    <x v="0"/>
    <x v="3"/>
    <x v="0"/>
    <x v="1"/>
    <s v="Premium"/>
    <n v="1"/>
    <n v="0"/>
    <n v="0"/>
    <n v="0"/>
    <n v="0"/>
    <n v="0"/>
    <n v="0"/>
    <m/>
    <n v="45.4"/>
  </r>
  <r>
    <x v="237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x v="238"/>
    <d v="2025-03-12T00:00:00"/>
    <x v="0"/>
    <x v="0"/>
    <x v="0"/>
    <x v="4"/>
    <s v="Free"/>
    <n v="1"/>
    <n v="1"/>
    <n v="1"/>
    <n v="0"/>
    <n v="0"/>
    <n v="0"/>
    <n v="0"/>
    <m/>
    <n v="56.1"/>
  </r>
  <r>
    <x v="239"/>
    <d v="2025-03-15T00:00:00"/>
    <x v="0"/>
    <x v="1"/>
    <x v="1"/>
    <x v="3"/>
    <s v="Basic"/>
    <n v="1"/>
    <n v="1"/>
    <n v="0"/>
    <n v="0"/>
    <n v="0"/>
    <n v="0"/>
    <n v="0"/>
    <m/>
    <n v="45.9"/>
  </r>
  <r>
    <x v="240"/>
    <d v="2025-02-23T00:00:00"/>
    <x v="0"/>
    <x v="1"/>
    <x v="1"/>
    <x v="0"/>
    <s v="Free"/>
    <n v="0"/>
    <n v="0"/>
    <n v="0"/>
    <n v="0"/>
    <n v="0"/>
    <n v="0"/>
    <n v="0"/>
    <m/>
    <n v="65.8"/>
  </r>
  <r>
    <x v="241"/>
    <d v="2025-04-22T00:00:00"/>
    <x v="0"/>
    <x v="0"/>
    <x v="1"/>
    <x v="1"/>
    <s v="Basic"/>
    <n v="1"/>
    <n v="0"/>
    <n v="0"/>
    <n v="0"/>
    <n v="0"/>
    <n v="0"/>
    <n v="0"/>
    <m/>
    <n v="48.2"/>
  </r>
  <r>
    <x v="242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x v="243"/>
    <d v="2025-03-05T00:00:00"/>
    <x v="0"/>
    <x v="2"/>
    <x v="2"/>
    <x v="4"/>
    <s v="Premium"/>
    <n v="1"/>
    <n v="1"/>
    <n v="0"/>
    <n v="0"/>
    <n v="0"/>
    <n v="0"/>
    <n v="0"/>
    <m/>
    <n v="53.2"/>
  </r>
  <r>
    <x v="244"/>
    <d v="2025-01-28T00:00:00"/>
    <x v="0"/>
    <x v="0"/>
    <x v="1"/>
    <x v="4"/>
    <s v="Free"/>
    <n v="1"/>
    <n v="1"/>
    <n v="1"/>
    <n v="0"/>
    <n v="0"/>
    <n v="0"/>
    <n v="0"/>
    <m/>
    <n v="57.7"/>
  </r>
  <r>
    <x v="245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x v="246"/>
    <d v="2025-03-14T00:00:00"/>
    <x v="0"/>
    <x v="3"/>
    <x v="1"/>
    <x v="3"/>
    <s v="Basic"/>
    <n v="0"/>
    <n v="0"/>
    <n v="0"/>
    <n v="0"/>
    <n v="0"/>
    <n v="0"/>
    <n v="0"/>
    <m/>
    <n v="55.7"/>
  </r>
  <r>
    <x v="247"/>
    <d v="2025-02-03T00:00:00"/>
    <x v="0"/>
    <x v="1"/>
    <x v="1"/>
    <x v="2"/>
    <s v="Free"/>
    <n v="0"/>
    <n v="0"/>
    <n v="0"/>
    <n v="0"/>
    <n v="0"/>
    <n v="0"/>
    <n v="0"/>
    <m/>
    <n v="52.3"/>
  </r>
  <r>
    <x v="248"/>
    <d v="2025-05-22T00:00:00"/>
    <x v="0"/>
    <x v="0"/>
    <x v="1"/>
    <x v="4"/>
    <s v="Free"/>
    <n v="1"/>
    <n v="0"/>
    <n v="0"/>
    <n v="0"/>
    <n v="0"/>
    <n v="0"/>
    <n v="0"/>
    <m/>
    <n v="51.5"/>
  </r>
  <r>
    <x v="249"/>
    <d v="2025-04-25T00:00:00"/>
    <x v="0"/>
    <x v="0"/>
    <x v="0"/>
    <x v="0"/>
    <s v="Free"/>
    <n v="1"/>
    <n v="0"/>
    <n v="0"/>
    <n v="0"/>
    <n v="0"/>
    <n v="0"/>
    <n v="0"/>
    <m/>
    <n v="70.8"/>
  </r>
  <r>
    <x v="250"/>
    <d v="2025-01-30T00:00:00"/>
    <x v="0"/>
    <x v="0"/>
    <x v="0"/>
    <x v="0"/>
    <s v="Basic"/>
    <n v="1"/>
    <n v="1"/>
    <n v="1"/>
    <n v="1"/>
    <n v="1250.78"/>
    <n v="0"/>
    <n v="0"/>
    <n v="10"/>
    <n v="39"/>
  </r>
  <r>
    <x v="251"/>
    <d v="2025-05-23T00:00:00"/>
    <x v="0"/>
    <x v="1"/>
    <x v="1"/>
    <x v="1"/>
    <s v="Free"/>
    <n v="1"/>
    <n v="0"/>
    <n v="0"/>
    <n v="0"/>
    <n v="0"/>
    <n v="0"/>
    <n v="0"/>
    <m/>
    <n v="61.6"/>
  </r>
  <r>
    <x v="252"/>
    <d v="2025-02-14T00:00:00"/>
    <x v="0"/>
    <x v="2"/>
    <x v="0"/>
    <x v="1"/>
    <s v="Free"/>
    <n v="1"/>
    <n v="1"/>
    <n v="1"/>
    <n v="0"/>
    <n v="0"/>
    <n v="0"/>
    <n v="0"/>
    <m/>
    <n v="46.8"/>
  </r>
  <r>
    <x v="253"/>
    <d v="2025-03-05T00:00:00"/>
    <x v="0"/>
    <x v="0"/>
    <x v="1"/>
    <x v="2"/>
    <s v="Premium"/>
    <n v="0"/>
    <n v="0"/>
    <n v="0"/>
    <n v="0"/>
    <n v="0"/>
    <n v="1"/>
    <n v="0"/>
    <m/>
    <n v="58.5"/>
  </r>
  <r>
    <x v="254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x v="255"/>
    <d v="2025-01-07T00:00:00"/>
    <x v="0"/>
    <x v="3"/>
    <x v="1"/>
    <x v="2"/>
    <s v="Free"/>
    <n v="1"/>
    <n v="0"/>
    <n v="0"/>
    <n v="0"/>
    <n v="0"/>
    <n v="0"/>
    <n v="0"/>
    <m/>
    <n v="48.4"/>
  </r>
  <r>
    <x v="256"/>
    <d v="2025-04-21T00:00:00"/>
    <x v="0"/>
    <x v="0"/>
    <x v="1"/>
    <x v="0"/>
    <s v="Free"/>
    <n v="1"/>
    <n v="0"/>
    <n v="0"/>
    <n v="0"/>
    <n v="0"/>
    <n v="0"/>
    <n v="0"/>
    <m/>
    <n v="58"/>
  </r>
  <r>
    <x v="257"/>
    <d v="2025-05-13T00:00:00"/>
    <x v="0"/>
    <x v="0"/>
    <x v="1"/>
    <x v="2"/>
    <s v="Free"/>
    <n v="0"/>
    <n v="0"/>
    <n v="0"/>
    <n v="0"/>
    <n v="0"/>
    <n v="0"/>
    <n v="0"/>
    <m/>
    <n v="61.6"/>
  </r>
  <r>
    <x v="258"/>
    <d v="2025-01-28T00:00:00"/>
    <x v="0"/>
    <x v="2"/>
    <x v="0"/>
    <x v="1"/>
    <s v="Free"/>
    <n v="1"/>
    <n v="0"/>
    <n v="0"/>
    <n v="0"/>
    <n v="0"/>
    <n v="0"/>
    <n v="0"/>
    <m/>
    <n v="43.2"/>
  </r>
  <r>
    <x v="259"/>
    <d v="2025-03-16T00:00:00"/>
    <x v="0"/>
    <x v="2"/>
    <x v="0"/>
    <x v="2"/>
    <s v="Basic"/>
    <n v="1"/>
    <n v="0"/>
    <n v="0"/>
    <n v="0"/>
    <n v="0"/>
    <n v="1"/>
    <n v="0"/>
    <m/>
    <n v="53.3"/>
  </r>
  <r>
    <x v="260"/>
    <d v="2025-04-10T00:00:00"/>
    <x v="0"/>
    <x v="2"/>
    <x v="0"/>
    <x v="4"/>
    <s v="Basic"/>
    <n v="0"/>
    <n v="0"/>
    <n v="0"/>
    <n v="0"/>
    <n v="0"/>
    <n v="0"/>
    <n v="0"/>
    <m/>
    <n v="33.9"/>
  </r>
  <r>
    <x v="261"/>
    <d v="2025-03-15T00:00:00"/>
    <x v="0"/>
    <x v="2"/>
    <x v="0"/>
    <x v="3"/>
    <s v="Free"/>
    <n v="1"/>
    <n v="1"/>
    <n v="1"/>
    <n v="0"/>
    <n v="0"/>
    <n v="0"/>
    <n v="0"/>
    <m/>
    <n v="35.4"/>
  </r>
  <r>
    <x v="262"/>
    <d v="2025-04-07T00:00:00"/>
    <x v="0"/>
    <x v="1"/>
    <x v="0"/>
    <x v="1"/>
    <s v="Basic"/>
    <n v="1"/>
    <n v="0"/>
    <n v="0"/>
    <n v="0"/>
    <n v="0"/>
    <n v="0"/>
    <n v="0"/>
    <m/>
    <n v="45"/>
  </r>
  <r>
    <x v="263"/>
    <d v="2025-02-12T00:00:00"/>
    <x v="0"/>
    <x v="3"/>
    <x v="1"/>
    <x v="1"/>
    <s v="Free"/>
    <n v="1"/>
    <n v="1"/>
    <n v="0"/>
    <n v="0"/>
    <n v="0"/>
    <n v="0"/>
    <n v="0"/>
    <m/>
    <n v="86.5"/>
  </r>
  <r>
    <x v="264"/>
    <d v="2025-05-05T00:00:00"/>
    <x v="0"/>
    <x v="1"/>
    <x v="1"/>
    <x v="4"/>
    <s v="Free"/>
    <n v="0"/>
    <n v="0"/>
    <n v="0"/>
    <n v="0"/>
    <n v="0"/>
    <n v="0"/>
    <n v="0"/>
    <m/>
    <n v="58.1"/>
  </r>
  <r>
    <x v="265"/>
    <d v="2025-03-11T00:00:00"/>
    <x v="0"/>
    <x v="1"/>
    <x v="1"/>
    <x v="3"/>
    <s v="Free"/>
    <n v="1"/>
    <n v="0"/>
    <n v="0"/>
    <n v="0"/>
    <n v="0"/>
    <n v="0"/>
    <n v="0"/>
    <m/>
    <n v="36.1"/>
  </r>
  <r>
    <x v="266"/>
    <d v="2025-02-10T00:00:00"/>
    <x v="0"/>
    <x v="2"/>
    <x v="1"/>
    <x v="4"/>
    <s v="Free"/>
    <n v="0"/>
    <n v="0"/>
    <n v="0"/>
    <n v="0"/>
    <n v="0"/>
    <n v="0"/>
    <n v="0"/>
    <m/>
    <n v="62.8"/>
  </r>
  <r>
    <x v="267"/>
    <d v="2025-04-06T00:00:00"/>
    <x v="0"/>
    <x v="3"/>
    <x v="1"/>
    <x v="1"/>
    <s v="Free"/>
    <n v="0"/>
    <n v="0"/>
    <n v="0"/>
    <n v="0"/>
    <n v="0"/>
    <n v="0"/>
    <n v="0"/>
    <m/>
    <n v="54.2"/>
  </r>
  <r>
    <x v="268"/>
    <d v="2025-01-06T00:00:00"/>
    <x v="0"/>
    <x v="2"/>
    <x v="1"/>
    <x v="3"/>
    <s v="Free"/>
    <n v="0"/>
    <n v="0"/>
    <n v="0"/>
    <n v="0"/>
    <n v="0"/>
    <n v="0"/>
    <n v="0"/>
    <m/>
    <n v="50"/>
  </r>
  <r>
    <x v="269"/>
    <d v="2025-03-25T00:00:00"/>
    <x v="0"/>
    <x v="2"/>
    <x v="2"/>
    <x v="2"/>
    <s v="Basic"/>
    <n v="1"/>
    <n v="0"/>
    <n v="0"/>
    <n v="0"/>
    <n v="0"/>
    <n v="0"/>
    <n v="0"/>
    <m/>
    <n v="62"/>
  </r>
  <r>
    <x v="270"/>
    <d v="2025-02-13T00:00:00"/>
    <x v="0"/>
    <x v="2"/>
    <x v="0"/>
    <x v="3"/>
    <s v="Free"/>
    <n v="1"/>
    <n v="0"/>
    <n v="0"/>
    <n v="0"/>
    <n v="0"/>
    <n v="0"/>
    <n v="0"/>
    <m/>
    <n v="29.3"/>
  </r>
  <r>
    <x v="271"/>
    <d v="2025-03-17T00:00:00"/>
    <x v="0"/>
    <x v="1"/>
    <x v="0"/>
    <x v="1"/>
    <s v="Free"/>
    <n v="1"/>
    <n v="0"/>
    <n v="0"/>
    <n v="0"/>
    <n v="0"/>
    <n v="0"/>
    <n v="0"/>
    <m/>
    <n v="67.900000000000006"/>
  </r>
  <r>
    <x v="272"/>
    <d v="2025-05-10T00:00:00"/>
    <x v="0"/>
    <x v="0"/>
    <x v="1"/>
    <x v="3"/>
    <s v="Free"/>
    <n v="1"/>
    <n v="1"/>
    <n v="1"/>
    <n v="0"/>
    <n v="0"/>
    <n v="0"/>
    <n v="0"/>
    <m/>
    <n v="67.599999999999994"/>
  </r>
  <r>
    <x v="273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x v="274"/>
    <d v="2025-02-26T00:00:00"/>
    <x v="0"/>
    <x v="1"/>
    <x v="0"/>
    <x v="2"/>
    <s v="Premium"/>
    <n v="0"/>
    <n v="0"/>
    <n v="0"/>
    <n v="0"/>
    <n v="0"/>
    <n v="2"/>
    <n v="0"/>
    <m/>
    <n v="53"/>
  </r>
  <r>
    <x v="275"/>
    <d v="2025-05-11T00:00:00"/>
    <x v="0"/>
    <x v="0"/>
    <x v="1"/>
    <x v="1"/>
    <s v="Basic"/>
    <n v="0"/>
    <n v="0"/>
    <n v="0"/>
    <n v="0"/>
    <n v="0"/>
    <n v="0"/>
    <n v="0"/>
    <m/>
    <n v="65.5"/>
  </r>
  <r>
    <x v="276"/>
    <d v="2025-03-20T00:00:00"/>
    <x v="0"/>
    <x v="3"/>
    <x v="1"/>
    <x v="1"/>
    <s v="Basic"/>
    <n v="1"/>
    <n v="1"/>
    <n v="0"/>
    <n v="0"/>
    <n v="0"/>
    <n v="0"/>
    <n v="0"/>
    <m/>
    <n v="49.6"/>
  </r>
  <r>
    <x v="277"/>
    <d v="2025-01-19T00:00:00"/>
    <x v="0"/>
    <x v="0"/>
    <x v="1"/>
    <x v="0"/>
    <s v="Free"/>
    <n v="1"/>
    <n v="1"/>
    <n v="0"/>
    <n v="0"/>
    <n v="0"/>
    <n v="0"/>
    <n v="0"/>
    <m/>
    <n v="74.5"/>
  </r>
  <r>
    <x v="278"/>
    <d v="2025-03-08T00:00:00"/>
    <x v="0"/>
    <x v="0"/>
    <x v="2"/>
    <x v="2"/>
    <s v="Premium"/>
    <n v="1"/>
    <n v="0"/>
    <n v="0"/>
    <n v="0"/>
    <n v="0"/>
    <n v="1"/>
    <n v="0"/>
    <m/>
    <n v="46.9"/>
  </r>
  <r>
    <x v="279"/>
    <d v="2025-04-25T00:00:00"/>
    <x v="0"/>
    <x v="0"/>
    <x v="1"/>
    <x v="1"/>
    <s v="Free"/>
    <n v="0"/>
    <n v="0"/>
    <n v="0"/>
    <n v="0"/>
    <n v="0"/>
    <n v="0"/>
    <n v="0"/>
    <m/>
    <n v="87.1"/>
  </r>
  <r>
    <x v="280"/>
    <d v="2025-04-04T00:00:00"/>
    <x v="0"/>
    <x v="0"/>
    <x v="0"/>
    <x v="1"/>
    <s v="Free"/>
    <n v="1"/>
    <n v="0"/>
    <n v="0"/>
    <n v="0"/>
    <n v="0"/>
    <n v="0"/>
    <n v="0"/>
    <m/>
    <n v="56"/>
  </r>
  <r>
    <x v="281"/>
    <d v="2025-05-01T00:00:00"/>
    <x v="0"/>
    <x v="2"/>
    <x v="1"/>
    <x v="2"/>
    <s v="Premium"/>
    <n v="1"/>
    <n v="0"/>
    <n v="0"/>
    <n v="0"/>
    <n v="0"/>
    <n v="1"/>
    <n v="0"/>
    <m/>
    <n v="61.7"/>
  </r>
  <r>
    <x v="282"/>
    <d v="2025-01-21T00:00:00"/>
    <x v="0"/>
    <x v="3"/>
    <x v="1"/>
    <x v="4"/>
    <s v="Free"/>
    <n v="1"/>
    <n v="0"/>
    <n v="0"/>
    <n v="0"/>
    <n v="0"/>
    <n v="1"/>
    <n v="0"/>
    <m/>
    <n v="70.5"/>
  </r>
  <r>
    <x v="283"/>
    <d v="2025-02-10T00:00:00"/>
    <x v="0"/>
    <x v="0"/>
    <x v="0"/>
    <x v="3"/>
    <s v="Basic"/>
    <n v="1"/>
    <n v="0"/>
    <n v="0"/>
    <n v="0"/>
    <n v="0"/>
    <n v="0"/>
    <n v="0"/>
    <m/>
    <n v="33.4"/>
  </r>
  <r>
    <x v="284"/>
    <d v="2025-05-06T00:00:00"/>
    <x v="0"/>
    <x v="3"/>
    <x v="0"/>
    <x v="1"/>
    <s v="Free"/>
    <n v="1"/>
    <n v="0"/>
    <n v="0"/>
    <n v="0"/>
    <n v="0"/>
    <n v="0"/>
    <n v="0"/>
    <m/>
    <n v="57.5"/>
  </r>
  <r>
    <x v="285"/>
    <d v="2025-02-08T00:00:00"/>
    <x v="0"/>
    <x v="0"/>
    <x v="0"/>
    <x v="2"/>
    <s v="Basic"/>
    <n v="1"/>
    <n v="1"/>
    <n v="0"/>
    <n v="0"/>
    <n v="0"/>
    <n v="0"/>
    <n v="0"/>
    <m/>
    <n v="85.7"/>
  </r>
  <r>
    <x v="286"/>
    <d v="2025-05-31T00:00:00"/>
    <x v="0"/>
    <x v="2"/>
    <x v="1"/>
    <x v="4"/>
    <s v="Free"/>
    <n v="1"/>
    <n v="0"/>
    <n v="0"/>
    <n v="0"/>
    <n v="0"/>
    <n v="0"/>
    <n v="0"/>
    <m/>
    <n v="41.9"/>
  </r>
  <r>
    <x v="287"/>
    <d v="2025-02-07T00:00:00"/>
    <x v="0"/>
    <x v="1"/>
    <x v="1"/>
    <x v="0"/>
    <s v="Basic"/>
    <n v="1"/>
    <n v="0"/>
    <n v="0"/>
    <n v="0"/>
    <n v="0"/>
    <n v="0"/>
    <n v="0"/>
    <m/>
    <n v="70.2"/>
  </r>
  <r>
    <x v="288"/>
    <d v="2025-02-10T00:00:00"/>
    <x v="0"/>
    <x v="0"/>
    <x v="1"/>
    <x v="4"/>
    <s v="Free"/>
    <n v="1"/>
    <n v="0"/>
    <n v="0"/>
    <n v="0"/>
    <n v="0"/>
    <n v="0"/>
    <n v="0"/>
    <m/>
    <n v="42.6"/>
  </r>
  <r>
    <x v="289"/>
    <d v="2025-01-31T00:00:00"/>
    <x v="0"/>
    <x v="1"/>
    <x v="1"/>
    <x v="4"/>
    <s v="Basic"/>
    <n v="0"/>
    <n v="0"/>
    <n v="0"/>
    <n v="0"/>
    <n v="0"/>
    <n v="2"/>
    <n v="0"/>
    <m/>
    <n v="30.4"/>
  </r>
  <r>
    <x v="290"/>
    <d v="2025-03-16T00:00:00"/>
    <x v="0"/>
    <x v="2"/>
    <x v="1"/>
    <x v="2"/>
    <s v="Basic"/>
    <n v="1"/>
    <n v="0"/>
    <n v="0"/>
    <n v="0"/>
    <n v="0"/>
    <n v="0"/>
    <n v="0"/>
    <m/>
    <n v="63.7"/>
  </r>
  <r>
    <x v="291"/>
    <d v="2025-04-24T00:00:00"/>
    <x v="0"/>
    <x v="3"/>
    <x v="1"/>
    <x v="4"/>
    <s v="Basic"/>
    <n v="0"/>
    <n v="0"/>
    <n v="0"/>
    <n v="0"/>
    <n v="0"/>
    <n v="0"/>
    <n v="0"/>
    <m/>
    <n v="42.7"/>
  </r>
  <r>
    <x v="292"/>
    <d v="2025-01-28T00:00:00"/>
    <x v="0"/>
    <x v="0"/>
    <x v="1"/>
    <x v="1"/>
    <s v="Free"/>
    <n v="0"/>
    <n v="0"/>
    <n v="0"/>
    <n v="0"/>
    <n v="0"/>
    <n v="0"/>
    <n v="0"/>
    <m/>
    <n v="74.3"/>
  </r>
  <r>
    <x v="293"/>
    <d v="2025-02-16T00:00:00"/>
    <x v="0"/>
    <x v="1"/>
    <x v="0"/>
    <x v="0"/>
    <s v="Free"/>
    <n v="1"/>
    <n v="0"/>
    <n v="0"/>
    <n v="0"/>
    <n v="0"/>
    <n v="0"/>
    <n v="0"/>
    <m/>
    <n v="40.6"/>
  </r>
  <r>
    <x v="294"/>
    <d v="2025-03-23T00:00:00"/>
    <x v="0"/>
    <x v="2"/>
    <x v="1"/>
    <x v="1"/>
    <s v="Premium"/>
    <n v="0"/>
    <n v="0"/>
    <n v="0"/>
    <n v="0"/>
    <n v="0"/>
    <n v="0"/>
    <n v="0"/>
    <m/>
    <n v="67"/>
  </r>
  <r>
    <x v="295"/>
    <d v="2025-05-31T00:00:00"/>
    <x v="0"/>
    <x v="2"/>
    <x v="1"/>
    <x v="2"/>
    <s v="Premium"/>
    <n v="0"/>
    <n v="0"/>
    <n v="0"/>
    <n v="0"/>
    <n v="0"/>
    <n v="0"/>
    <n v="0"/>
    <m/>
    <n v="51"/>
  </r>
  <r>
    <x v="296"/>
    <d v="2025-04-13T00:00:00"/>
    <x v="0"/>
    <x v="1"/>
    <x v="1"/>
    <x v="4"/>
    <s v="Basic"/>
    <n v="1"/>
    <n v="1"/>
    <n v="0"/>
    <n v="0"/>
    <n v="0"/>
    <n v="1"/>
    <n v="0"/>
    <m/>
    <n v="54.8"/>
  </r>
  <r>
    <x v="297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x v="298"/>
    <d v="2025-02-19T00:00:00"/>
    <x v="0"/>
    <x v="2"/>
    <x v="1"/>
    <x v="2"/>
    <s v="Free"/>
    <n v="0"/>
    <n v="0"/>
    <n v="0"/>
    <n v="0"/>
    <n v="0"/>
    <n v="0"/>
    <n v="0"/>
    <m/>
    <n v="48.8"/>
  </r>
  <r>
    <x v="299"/>
    <d v="2025-01-24T00:00:00"/>
    <x v="0"/>
    <x v="3"/>
    <x v="1"/>
    <x v="5"/>
    <s v="Basic"/>
    <n v="1"/>
    <n v="1"/>
    <n v="1"/>
    <n v="1"/>
    <n v="1198.69"/>
    <n v="1"/>
    <n v="0"/>
    <n v="6"/>
    <n v="88.9"/>
  </r>
  <r>
    <x v="300"/>
    <d v="2025-05-09T00:00:00"/>
    <x v="0"/>
    <x v="0"/>
    <x v="1"/>
    <x v="0"/>
    <s v="Basic"/>
    <n v="1"/>
    <n v="1"/>
    <n v="1"/>
    <n v="0"/>
    <n v="0"/>
    <n v="1"/>
    <n v="0"/>
    <m/>
    <n v="60.5"/>
  </r>
  <r>
    <x v="301"/>
    <d v="2025-02-11T00:00:00"/>
    <x v="0"/>
    <x v="0"/>
    <x v="1"/>
    <x v="1"/>
    <s v="Basic"/>
    <n v="1"/>
    <n v="0"/>
    <n v="0"/>
    <n v="0"/>
    <n v="0"/>
    <n v="0"/>
    <n v="0"/>
    <m/>
    <n v="63.6"/>
  </r>
  <r>
    <x v="302"/>
    <d v="2025-02-26T00:00:00"/>
    <x v="0"/>
    <x v="0"/>
    <x v="0"/>
    <x v="1"/>
    <s v="Basic"/>
    <n v="1"/>
    <n v="1"/>
    <n v="1"/>
    <n v="1"/>
    <n v="6788.95"/>
    <n v="0"/>
    <n v="0"/>
    <n v="17"/>
    <n v="58.4"/>
  </r>
  <r>
    <x v="303"/>
    <d v="2025-02-12T00:00:00"/>
    <x v="0"/>
    <x v="3"/>
    <x v="1"/>
    <x v="4"/>
    <s v="Premium"/>
    <n v="0"/>
    <n v="0"/>
    <n v="0"/>
    <n v="0"/>
    <n v="0"/>
    <n v="0"/>
    <n v="0"/>
    <m/>
    <n v="52.7"/>
  </r>
  <r>
    <x v="304"/>
    <d v="2025-01-05T00:00:00"/>
    <x v="0"/>
    <x v="3"/>
    <x v="2"/>
    <x v="4"/>
    <s v="Premium"/>
    <n v="1"/>
    <n v="1"/>
    <n v="1"/>
    <n v="0"/>
    <n v="0"/>
    <n v="2"/>
    <n v="0"/>
    <m/>
    <n v="48.9"/>
  </r>
  <r>
    <x v="305"/>
    <d v="2025-05-19T00:00:00"/>
    <x v="0"/>
    <x v="1"/>
    <x v="1"/>
    <x v="1"/>
    <s v="Premium"/>
    <n v="0"/>
    <n v="0"/>
    <n v="0"/>
    <n v="0"/>
    <n v="0"/>
    <n v="0"/>
    <n v="0"/>
    <m/>
    <n v="79.7"/>
  </r>
  <r>
    <x v="306"/>
    <d v="2025-02-02T00:00:00"/>
    <x v="0"/>
    <x v="0"/>
    <x v="1"/>
    <x v="4"/>
    <s v="Free"/>
    <n v="1"/>
    <n v="0"/>
    <n v="0"/>
    <n v="0"/>
    <n v="0"/>
    <n v="0"/>
    <n v="0"/>
    <m/>
    <n v="44.9"/>
  </r>
  <r>
    <x v="307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x v="308"/>
    <d v="2025-05-01T00:00:00"/>
    <x v="0"/>
    <x v="3"/>
    <x v="0"/>
    <x v="0"/>
    <s v="Free"/>
    <n v="0"/>
    <n v="0"/>
    <n v="0"/>
    <n v="0"/>
    <n v="0"/>
    <n v="0"/>
    <n v="0"/>
    <m/>
    <n v="70"/>
  </r>
  <r>
    <x v="309"/>
    <d v="2025-05-16T00:00:00"/>
    <x v="0"/>
    <x v="3"/>
    <x v="0"/>
    <x v="3"/>
    <s v="Basic"/>
    <n v="1"/>
    <n v="0"/>
    <n v="0"/>
    <n v="0"/>
    <n v="0"/>
    <n v="0"/>
    <n v="0"/>
    <m/>
    <n v="77.7"/>
  </r>
  <r>
    <x v="310"/>
    <d v="2025-03-08T00:00:00"/>
    <x v="0"/>
    <x v="1"/>
    <x v="1"/>
    <x v="1"/>
    <s v="Free"/>
    <n v="0"/>
    <n v="0"/>
    <n v="0"/>
    <n v="0"/>
    <n v="0"/>
    <n v="0"/>
    <n v="0"/>
    <m/>
    <n v="71.2"/>
  </r>
  <r>
    <x v="311"/>
    <d v="2025-04-04T00:00:00"/>
    <x v="0"/>
    <x v="0"/>
    <x v="1"/>
    <x v="1"/>
    <s v="Basic"/>
    <n v="1"/>
    <n v="0"/>
    <n v="0"/>
    <n v="0"/>
    <n v="0"/>
    <n v="0"/>
    <n v="0"/>
    <m/>
    <n v="43.8"/>
  </r>
  <r>
    <x v="312"/>
    <d v="2025-05-30T00:00:00"/>
    <x v="0"/>
    <x v="3"/>
    <x v="2"/>
    <x v="1"/>
    <s v="Free"/>
    <n v="1"/>
    <n v="0"/>
    <n v="0"/>
    <n v="0"/>
    <n v="0"/>
    <n v="0"/>
    <n v="0"/>
    <m/>
    <n v="50.9"/>
  </r>
  <r>
    <x v="313"/>
    <d v="2025-01-05T00:00:00"/>
    <x v="0"/>
    <x v="1"/>
    <x v="1"/>
    <x v="1"/>
    <s v="Premium"/>
    <n v="0"/>
    <n v="0"/>
    <n v="0"/>
    <n v="0"/>
    <n v="0"/>
    <n v="0"/>
    <n v="0"/>
    <m/>
    <n v="58.5"/>
  </r>
  <r>
    <x v="314"/>
    <d v="2025-01-20T00:00:00"/>
    <x v="0"/>
    <x v="2"/>
    <x v="1"/>
    <x v="1"/>
    <s v="Free"/>
    <n v="1"/>
    <n v="1"/>
    <n v="1"/>
    <n v="0"/>
    <n v="0"/>
    <n v="0"/>
    <n v="0"/>
    <m/>
    <n v="53.6"/>
  </r>
  <r>
    <x v="315"/>
    <d v="2025-05-01T00:00:00"/>
    <x v="0"/>
    <x v="2"/>
    <x v="1"/>
    <x v="0"/>
    <s v="Free"/>
    <n v="0"/>
    <n v="0"/>
    <n v="0"/>
    <n v="0"/>
    <n v="0"/>
    <n v="0"/>
    <n v="0"/>
    <m/>
    <n v="54.9"/>
  </r>
  <r>
    <x v="316"/>
    <d v="2025-03-05T00:00:00"/>
    <x v="0"/>
    <x v="0"/>
    <x v="0"/>
    <x v="1"/>
    <s v="Premium"/>
    <n v="0"/>
    <n v="0"/>
    <n v="0"/>
    <n v="0"/>
    <n v="0"/>
    <n v="0"/>
    <n v="0"/>
    <m/>
    <n v="57.3"/>
  </r>
  <r>
    <x v="317"/>
    <d v="2025-04-01T00:00:00"/>
    <x v="0"/>
    <x v="2"/>
    <x v="0"/>
    <x v="3"/>
    <s v="Free"/>
    <n v="1"/>
    <n v="0"/>
    <n v="0"/>
    <n v="0"/>
    <n v="0"/>
    <n v="0"/>
    <n v="0"/>
    <m/>
    <n v="52.1"/>
  </r>
  <r>
    <x v="318"/>
    <d v="2025-05-03T00:00:00"/>
    <x v="0"/>
    <x v="0"/>
    <x v="1"/>
    <x v="1"/>
    <s v="Free"/>
    <n v="1"/>
    <n v="0"/>
    <n v="0"/>
    <n v="0"/>
    <n v="0"/>
    <n v="0"/>
    <n v="0"/>
    <m/>
    <n v="80"/>
  </r>
  <r>
    <x v="319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x v="320"/>
    <d v="2025-04-01T00:00:00"/>
    <x v="0"/>
    <x v="0"/>
    <x v="0"/>
    <x v="3"/>
    <s v="Premium"/>
    <n v="0"/>
    <n v="0"/>
    <n v="0"/>
    <n v="0"/>
    <n v="0"/>
    <n v="0"/>
    <n v="0"/>
    <m/>
    <n v="45.7"/>
  </r>
  <r>
    <x v="321"/>
    <d v="2025-02-09T00:00:00"/>
    <x v="0"/>
    <x v="0"/>
    <x v="0"/>
    <x v="4"/>
    <s v="Basic"/>
    <n v="1"/>
    <n v="0"/>
    <n v="0"/>
    <n v="0"/>
    <n v="0"/>
    <n v="2"/>
    <n v="0"/>
    <m/>
    <n v="61.2"/>
  </r>
  <r>
    <x v="322"/>
    <d v="2025-04-12T00:00:00"/>
    <x v="0"/>
    <x v="1"/>
    <x v="1"/>
    <x v="1"/>
    <s v="Basic"/>
    <n v="1"/>
    <n v="1"/>
    <n v="0"/>
    <n v="0"/>
    <n v="0"/>
    <n v="0"/>
    <n v="0"/>
    <m/>
    <n v="66.2"/>
  </r>
  <r>
    <x v="323"/>
    <d v="2025-03-18T00:00:00"/>
    <x v="0"/>
    <x v="2"/>
    <x v="1"/>
    <x v="4"/>
    <s v="Free"/>
    <n v="1"/>
    <n v="1"/>
    <n v="1"/>
    <n v="0"/>
    <n v="0"/>
    <n v="0"/>
    <n v="0"/>
    <m/>
    <n v="61.3"/>
  </r>
  <r>
    <x v="324"/>
    <d v="2025-04-03T00:00:00"/>
    <x v="0"/>
    <x v="2"/>
    <x v="1"/>
    <x v="2"/>
    <s v="Free"/>
    <n v="1"/>
    <n v="0"/>
    <n v="0"/>
    <n v="0"/>
    <n v="0"/>
    <n v="0"/>
    <n v="0"/>
    <m/>
    <n v="72.2"/>
  </r>
  <r>
    <x v="325"/>
    <d v="2025-04-02T00:00:00"/>
    <x v="0"/>
    <x v="1"/>
    <x v="1"/>
    <x v="0"/>
    <s v="Premium"/>
    <n v="1"/>
    <n v="1"/>
    <n v="1"/>
    <n v="0"/>
    <n v="0"/>
    <n v="0"/>
    <n v="0"/>
    <m/>
    <n v="84"/>
  </r>
  <r>
    <x v="326"/>
    <d v="2025-05-10T00:00:00"/>
    <x v="0"/>
    <x v="1"/>
    <x v="0"/>
    <x v="0"/>
    <s v="Basic"/>
    <n v="0"/>
    <n v="0"/>
    <n v="0"/>
    <n v="0"/>
    <n v="0"/>
    <n v="0"/>
    <n v="0"/>
    <m/>
    <n v="59.8"/>
  </r>
  <r>
    <x v="327"/>
    <d v="2025-04-29T00:00:00"/>
    <x v="0"/>
    <x v="1"/>
    <x v="0"/>
    <x v="2"/>
    <s v="Free"/>
    <n v="1"/>
    <n v="0"/>
    <n v="0"/>
    <n v="0"/>
    <n v="0"/>
    <n v="0"/>
    <n v="0"/>
    <m/>
    <n v="64.900000000000006"/>
  </r>
  <r>
    <x v="328"/>
    <d v="2025-02-27T00:00:00"/>
    <x v="0"/>
    <x v="3"/>
    <x v="1"/>
    <x v="2"/>
    <s v="Free"/>
    <n v="1"/>
    <n v="0"/>
    <n v="0"/>
    <n v="0"/>
    <n v="0"/>
    <n v="0"/>
    <n v="0"/>
    <m/>
    <n v="66.8"/>
  </r>
  <r>
    <x v="329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x v="330"/>
    <d v="2025-02-13T00:00:00"/>
    <x v="0"/>
    <x v="2"/>
    <x v="1"/>
    <x v="1"/>
    <s v="Free"/>
    <n v="1"/>
    <n v="1"/>
    <n v="1"/>
    <n v="1"/>
    <n v="426.82"/>
    <n v="1"/>
    <n v="0"/>
    <n v="14"/>
    <n v="68.8"/>
  </r>
  <r>
    <x v="331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x v="332"/>
    <d v="2025-03-10T00:00:00"/>
    <x v="0"/>
    <x v="2"/>
    <x v="1"/>
    <x v="1"/>
    <s v="Basic"/>
    <n v="0"/>
    <n v="0"/>
    <n v="0"/>
    <n v="0"/>
    <n v="0"/>
    <n v="0"/>
    <n v="0"/>
    <m/>
    <n v="63.3"/>
  </r>
  <r>
    <x v="333"/>
    <d v="2025-01-10T00:00:00"/>
    <x v="0"/>
    <x v="1"/>
    <x v="2"/>
    <x v="4"/>
    <s v="Free"/>
    <n v="1"/>
    <n v="0"/>
    <n v="0"/>
    <n v="0"/>
    <n v="0"/>
    <n v="0"/>
    <n v="0"/>
    <m/>
    <n v="30.8"/>
  </r>
  <r>
    <x v="334"/>
    <d v="2025-01-16T00:00:00"/>
    <x v="0"/>
    <x v="3"/>
    <x v="1"/>
    <x v="0"/>
    <s v="Basic"/>
    <n v="1"/>
    <n v="1"/>
    <n v="1"/>
    <n v="1"/>
    <n v="874.55"/>
    <n v="0"/>
    <n v="0"/>
    <n v="9"/>
    <n v="44.2"/>
  </r>
  <r>
    <x v="335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x v="336"/>
    <d v="2025-04-13T00:00:00"/>
    <x v="0"/>
    <x v="1"/>
    <x v="1"/>
    <x v="1"/>
    <s v="Free"/>
    <n v="0"/>
    <n v="0"/>
    <n v="0"/>
    <n v="0"/>
    <n v="0"/>
    <n v="0"/>
    <n v="0"/>
    <m/>
    <n v="40.4"/>
  </r>
  <r>
    <x v="337"/>
    <d v="2025-02-08T00:00:00"/>
    <x v="0"/>
    <x v="2"/>
    <x v="1"/>
    <x v="2"/>
    <s v="Free"/>
    <n v="1"/>
    <n v="1"/>
    <n v="1"/>
    <n v="0"/>
    <n v="0"/>
    <n v="0"/>
    <n v="0"/>
    <m/>
    <n v="68.099999999999994"/>
  </r>
  <r>
    <x v="338"/>
    <d v="2025-03-31T00:00:00"/>
    <x v="0"/>
    <x v="1"/>
    <x v="0"/>
    <x v="3"/>
    <s v="Free"/>
    <n v="1"/>
    <n v="0"/>
    <n v="0"/>
    <n v="0"/>
    <n v="0"/>
    <n v="0"/>
    <n v="0"/>
    <m/>
    <n v="86.3"/>
  </r>
  <r>
    <x v="339"/>
    <d v="2025-01-31T00:00:00"/>
    <x v="0"/>
    <x v="1"/>
    <x v="0"/>
    <x v="3"/>
    <s v="Free"/>
    <n v="1"/>
    <n v="1"/>
    <n v="0"/>
    <n v="0"/>
    <n v="0"/>
    <n v="0"/>
    <n v="0"/>
    <m/>
    <n v="42.9"/>
  </r>
  <r>
    <x v="340"/>
    <d v="2025-05-08T00:00:00"/>
    <x v="0"/>
    <x v="1"/>
    <x v="2"/>
    <x v="1"/>
    <s v="Free"/>
    <n v="0"/>
    <n v="0"/>
    <n v="0"/>
    <n v="0"/>
    <n v="0"/>
    <n v="0"/>
    <n v="0"/>
    <m/>
    <n v="61.4"/>
  </r>
  <r>
    <x v="341"/>
    <d v="2025-03-15T00:00:00"/>
    <x v="0"/>
    <x v="0"/>
    <x v="1"/>
    <x v="2"/>
    <s v="Free"/>
    <n v="1"/>
    <n v="0"/>
    <n v="0"/>
    <n v="0"/>
    <n v="0"/>
    <n v="1"/>
    <n v="0"/>
    <m/>
    <n v="73.3"/>
  </r>
  <r>
    <x v="342"/>
    <d v="2025-01-13T00:00:00"/>
    <x v="0"/>
    <x v="3"/>
    <x v="1"/>
    <x v="3"/>
    <s v="Basic"/>
    <n v="1"/>
    <n v="0"/>
    <n v="0"/>
    <n v="0"/>
    <n v="0"/>
    <n v="0"/>
    <n v="0"/>
    <m/>
    <n v="59.4"/>
  </r>
  <r>
    <x v="343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x v="344"/>
    <d v="2025-02-10T00:00:00"/>
    <x v="0"/>
    <x v="3"/>
    <x v="1"/>
    <x v="4"/>
    <s v="Premium"/>
    <n v="1"/>
    <n v="1"/>
    <n v="0"/>
    <n v="0"/>
    <n v="0"/>
    <n v="0"/>
    <n v="0"/>
    <m/>
    <n v="55.3"/>
  </r>
  <r>
    <x v="345"/>
    <d v="2025-03-12T00:00:00"/>
    <x v="0"/>
    <x v="2"/>
    <x v="1"/>
    <x v="2"/>
    <s v="Free"/>
    <n v="0"/>
    <n v="0"/>
    <n v="0"/>
    <n v="0"/>
    <n v="0"/>
    <n v="0"/>
    <n v="0"/>
    <m/>
    <n v="37.5"/>
  </r>
  <r>
    <x v="346"/>
    <d v="2025-01-03T00:00:00"/>
    <x v="0"/>
    <x v="3"/>
    <x v="0"/>
    <x v="2"/>
    <s v="Free"/>
    <n v="0"/>
    <n v="0"/>
    <n v="0"/>
    <n v="0"/>
    <n v="0"/>
    <n v="1"/>
    <n v="0"/>
    <m/>
    <n v="66.400000000000006"/>
  </r>
  <r>
    <x v="347"/>
    <d v="2025-04-28T00:00:00"/>
    <x v="0"/>
    <x v="0"/>
    <x v="2"/>
    <x v="4"/>
    <s v="Basic"/>
    <n v="1"/>
    <n v="0"/>
    <n v="0"/>
    <n v="0"/>
    <n v="0"/>
    <n v="0"/>
    <n v="0"/>
    <m/>
    <n v="61.9"/>
  </r>
  <r>
    <x v="348"/>
    <d v="2025-04-17T00:00:00"/>
    <x v="0"/>
    <x v="2"/>
    <x v="1"/>
    <x v="1"/>
    <s v="Free"/>
    <n v="0"/>
    <n v="0"/>
    <n v="0"/>
    <n v="0"/>
    <n v="0"/>
    <n v="0"/>
    <n v="0"/>
    <m/>
    <n v="56"/>
  </r>
  <r>
    <x v="349"/>
    <d v="2025-05-23T00:00:00"/>
    <x v="0"/>
    <x v="3"/>
    <x v="0"/>
    <x v="4"/>
    <s v="Basic"/>
    <n v="1"/>
    <n v="0"/>
    <n v="0"/>
    <n v="0"/>
    <n v="0"/>
    <n v="0"/>
    <n v="0"/>
    <m/>
    <n v="55.5"/>
  </r>
  <r>
    <x v="350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x v="351"/>
    <d v="2025-01-18T00:00:00"/>
    <x v="0"/>
    <x v="3"/>
    <x v="0"/>
    <x v="1"/>
    <s v="Free"/>
    <n v="1"/>
    <n v="1"/>
    <n v="0"/>
    <n v="0"/>
    <n v="0"/>
    <n v="1"/>
    <n v="0"/>
    <m/>
    <n v="70.5"/>
  </r>
  <r>
    <x v="352"/>
    <d v="2025-04-17T00:00:00"/>
    <x v="0"/>
    <x v="0"/>
    <x v="1"/>
    <x v="1"/>
    <s v="Free"/>
    <n v="0"/>
    <n v="0"/>
    <n v="0"/>
    <n v="0"/>
    <n v="0"/>
    <n v="0"/>
    <n v="0"/>
    <m/>
    <n v="61.2"/>
  </r>
  <r>
    <x v="353"/>
    <d v="2025-04-12T00:00:00"/>
    <x v="0"/>
    <x v="2"/>
    <x v="2"/>
    <x v="4"/>
    <s v="Free"/>
    <n v="1"/>
    <n v="1"/>
    <n v="1"/>
    <n v="0"/>
    <n v="0"/>
    <n v="0"/>
    <n v="0"/>
    <m/>
    <n v="64.599999999999994"/>
  </r>
  <r>
    <x v="354"/>
    <d v="2025-05-16T00:00:00"/>
    <x v="0"/>
    <x v="2"/>
    <x v="1"/>
    <x v="0"/>
    <s v="Free"/>
    <n v="1"/>
    <n v="1"/>
    <n v="0"/>
    <n v="0"/>
    <n v="0"/>
    <n v="0"/>
    <n v="0"/>
    <m/>
    <n v="91.7"/>
  </r>
  <r>
    <x v="355"/>
    <d v="2025-03-24T00:00:00"/>
    <x v="0"/>
    <x v="1"/>
    <x v="1"/>
    <x v="4"/>
    <s v="Free"/>
    <n v="0"/>
    <n v="0"/>
    <n v="0"/>
    <n v="0"/>
    <n v="0"/>
    <n v="0"/>
    <n v="0"/>
    <m/>
    <n v="46"/>
  </r>
  <r>
    <x v="356"/>
    <d v="2025-02-16T00:00:00"/>
    <x v="0"/>
    <x v="1"/>
    <x v="1"/>
    <x v="1"/>
    <s v="Basic"/>
    <n v="0"/>
    <n v="0"/>
    <n v="0"/>
    <n v="0"/>
    <n v="0"/>
    <n v="0"/>
    <n v="0"/>
    <m/>
    <n v="50.8"/>
  </r>
  <r>
    <x v="357"/>
    <d v="2025-03-19T00:00:00"/>
    <x v="0"/>
    <x v="0"/>
    <x v="2"/>
    <x v="1"/>
    <s v="Free"/>
    <n v="1"/>
    <n v="1"/>
    <n v="1"/>
    <n v="0"/>
    <n v="0"/>
    <n v="0"/>
    <n v="0"/>
    <m/>
    <n v="52.8"/>
  </r>
  <r>
    <x v="358"/>
    <d v="2025-04-21T00:00:00"/>
    <x v="0"/>
    <x v="3"/>
    <x v="1"/>
    <x v="1"/>
    <s v="Basic"/>
    <n v="1"/>
    <n v="1"/>
    <n v="1"/>
    <n v="0"/>
    <n v="0"/>
    <n v="0"/>
    <n v="0"/>
    <m/>
    <n v="63"/>
  </r>
  <r>
    <x v="359"/>
    <d v="2025-01-11T00:00:00"/>
    <x v="0"/>
    <x v="1"/>
    <x v="1"/>
    <x v="1"/>
    <s v="Free"/>
    <n v="0"/>
    <n v="0"/>
    <n v="0"/>
    <n v="0"/>
    <n v="0"/>
    <n v="0"/>
    <n v="0"/>
    <m/>
    <n v="28.4"/>
  </r>
  <r>
    <x v="360"/>
    <d v="2025-04-24T00:00:00"/>
    <x v="0"/>
    <x v="1"/>
    <x v="0"/>
    <x v="1"/>
    <s v="Free"/>
    <n v="1"/>
    <n v="1"/>
    <n v="0"/>
    <n v="0"/>
    <n v="0"/>
    <n v="0"/>
    <n v="0"/>
    <m/>
    <n v="65.599999999999994"/>
  </r>
  <r>
    <x v="361"/>
    <d v="2025-03-13T00:00:00"/>
    <x v="0"/>
    <x v="0"/>
    <x v="1"/>
    <x v="4"/>
    <s v="Premium"/>
    <n v="1"/>
    <n v="1"/>
    <n v="1"/>
    <n v="0"/>
    <n v="0"/>
    <n v="0"/>
    <n v="0"/>
    <m/>
    <n v="54.7"/>
  </r>
  <r>
    <x v="362"/>
    <d v="2025-01-30T00:00:00"/>
    <x v="0"/>
    <x v="0"/>
    <x v="1"/>
    <x v="4"/>
    <s v="Basic"/>
    <n v="0"/>
    <n v="0"/>
    <n v="0"/>
    <n v="0"/>
    <n v="0"/>
    <n v="0"/>
    <n v="0"/>
    <m/>
    <n v="36.1"/>
  </r>
  <r>
    <x v="363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x v="364"/>
    <d v="2025-01-08T00:00:00"/>
    <x v="0"/>
    <x v="2"/>
    <x v="0"/>
    <x v="4"/>
    <s v="Free"/>
    <n v="1"/>
    <n v="0"/>
    <n v="0"/>
    <n v="0"/>
    <n v="0"/>
    <n v="0"/>
    <n v="0"/>
    <m/>
    <n v="56.4"/>
  </r>
  <r>
    <x v="365"/>
    <d v="2025-05-03T00:00:00"/>
    <x v="0"/>
    <x v="3"/>
    <x v="1"/>
    <x v="1"/>
    <s v="Free"/>
    <n v="1"/>
    <n v="0"/>
    <n v="0"/>
    <n v="0"/>
    <n v="0"/>
    <n v="0"/>
    <n v="0"/>
    <m/>
    <n v="79.2"/>
  </r>
  <r>
    <x v="366"/>
    <d v="2025-02-12T00:00:00"/>
    <x v="0"/>
    <x v="2"/>
    <x v="1"/>
    <x v="2"/>
    <s v="Free"/>
    <n v="1"/>
    <n v="1"/>
    <n v="1"/>
    <n v="0"/>
    <n v="0"/>
    <n v="0"/>
    <n v="0"/>
    <m/>
    <n v="60.1"/>
  </r>
  <r>
    <x v="367"/>
    <d v="2025-02-25T00:00:00"/>
    <x v="0"/>
    <x v="3"/>
    <x v="2"/>
    <x v="1"/>
    <s v="Free"/>
    <n v="0"/>
    <n v="0"/>
    <n v="0"/>
    <n v="0"/>
    <n v="0"/>
    <n v="0"/>
    <n v="0"/>
    <m/>
    <n v="58"/>
  </r>
  <r>
    <x v="368"/>
    <d v="2025-04-14T00:00:00"/>
    <x v="0"/>
    <x v="3"/>
    <x v="1"/>
    <x v="3"/>
    <s v="Free"/>
    <n v="1"/>
    <n v="1"/>
    <n v="1"/>
    <n v="0"/>
    <n v="0"/>
    <n v="0"/>
    <n v="0"/>
    <m/>
    <n v="69"/>
  </r>
  <r>
    <x v="369"/>
    <d v="2025-01-08T00:00:00"/>
    <x v="0"/>
    <x v="0"/>
    <x v="1"/>
    <x v="3"/>
    <s v="Premium"/>
    <n v="1"/>
    <n v="1"/>
    <n v="1"/>
    <n v="0"/>
    <n v="0"/>
    <n v="1"/>
    <n v="0"/>
    <m/>
    <n v="80.8"/>
  </r>
  <r>
    <x v="370"/>
    <d v="2025-03-14T00:00:00"/>
    <x v="0"/>
    <x v="2"/>
    <x v="1"/>
    <x v="0"/>
    <s v="Free"/>
    <n v="0"/>
    <n v="0"/>
    <n v="0"/>
    <n v="0"/>
    <n v="0"/>
    <n v="0"/>
    <n v="0"/>
    <m/>
    <n v="32.799999999999997"/>
  </r>
  <r>
    <x v="371"/>
    <d v="2025-04-29T00:00:00"/>
    <x v="0"/>
    <x v="0"/>
    <x v="0"/>
    <x v="2"/>
    <s v="Premium"/>
    <n v="1"/>
    <n v="0"/>
    <n v="0"/>
    <n v="0"/>
    <n v="0"/>
    <n v="0"/>
    <n v="0"/>
    <m/>
    <n v="56"/>
  </r>
  <r>
    <x v="372"/>
    <d v="2025-05-01T00:00:00"/>
    <x v="0"/>
    <x v="2"/>
    <x v="0"/>
    <x v="4"/>
    <s v="Free"/>
    <n v="1"/>
    <n v="0"/>
    <n v="0"/>
    <n v="0"/>
    <n v="0"/>
    <n v="0"/>
    <n v="0"/>
    <m/>
    <n v="76.400000000000006"/>
  </r>
  <r>
    <x v="373"/>
    <d v="2025-03-19T00:00:00"/>
    <x v="0"/>
    <x v="0"/>
    <x v="1"/>
    <x v="3"/>
    <s v="Free"/>
    <n v="1"/>
    <n v="0"/>
    <n v="0"/>
    <n v="0"/>
    <n v="0"/>
    <n v="0"/>
    <n v="0"/>
    <m/>
    <n v="28.5"/>
  </r>
  <r>
    <x v="374"/>
    <d v="2025-05-01T00:00:00"/>
    <x v="0"/>
    <x v="3"/>
    <x v="0"/>
    <x v="4"/>
    <s v="Basic"/>
    <n v="1"/>
    <n v="1"/>
    <n v="1"/>
    <n v="0"/>
    <n v="0"/>
    <n v="0"/>
    <n v="0"/>
    <m/>
    <n v="48.3"/>
  </r>
  <r>
    <x v="375"/>
    <d v="2025-03-14T00:00:00"/>
    <x v="0"/>
    <x v="1"/>
    <x v="1"/>
    <x v="1"/>
    <s v="Free"/>
    <n v="1"/>
    <n v="1"/>
    <n v="0"/>
    <n v="0"/>
    <n v="0"/>
    <n v="0"/>
    <n v="0"/>
    <m/>
    <n v="43.4"/>
  </r>
  <r>
    <x v="376"/>
    <d v="2025-03-23T00:00:00"/>
    <x v="0"/>
    <x v="0"/>
    <x v="1"/>
    <x v="2"/>
    <s v="Free"/>
    <n v="0"/>
    <n v="0"/>
    <n v="0"/>
    <n v="0"/>
    <n v="0"/>
    <n v="0"/>
    <n v="0"/>
    <m/>
    <n v="43"/>
  </r>
  <r>
    <x v="377"/>
    <d v="2025-02-08T00:00:00"/>
    <x v="0"/>
    <x v="2"/>
    <x v="1"/>
    <x v="3"/>
    <s v="Basic"/>
    <n v="1"/>
    <n v="1"/>
    <n v="1"/>
    <n v="0"/>
    <n v="0"/>
    <n v="0"/>
    <n v="0"/>
    <m/>
    <n v="91.8"/>
  </r>
  <r>
    <x v="378"/>
    <d v="2025-04-15T00:00:00"/>
    <x v="0"/>
    <x v="1"/>
    <x v="2"/>
    <x v="2"/>
    <s v="Basic"/>
    <n v="1"/>
    <n v="0"/>
    <n v="0"/>
    <n v="0"/>
    <n v="0"/>
    <n v="1"/>
    <n v="0"/>
    <m/>
    <n v="69.3"/>
  </r>
  <r>
    <x v="379"/>
    <d v="2025-01-03T00:00:00"/>
    <x v="0"/>
    <x v="3"/>
    <x v="0"/>
    <x v="2"/>
    <s v="Basic"/>
    <n v="1"/>
    <n v="0"/>
    <n v="0"/>
    <n v="0"/>
    <n v="0"/>
    <n v="0"/>
    <n v="0"/>
    <m/>
    <n v="58.9"/>
  </r>
  <r>
    <x v="380"/>
    <d v="2025-03-23T00:00:00"/>
    <x v="0"/>
    <x v="1"/>
    <x v="1"/>
    <x v="4"/>
    <s v="Free"/>
    <n v="1"/>
    <n v="1"/>
    <n v="1"/>
    <n v="0"/>
    <n v="0"/>
    <n v="0"/>
    <n v="0"/>
    <m/>
    <n v="76"/>
  </r>
  <r>
    <x v="381"/>
    <d v="2025-05-27T00:00:00"/>
    <x v="0"/>
    <x v="3"/>
    <x v="1"/>
    <x v="3"/>
    <s v="Premium"/>
    <n v="1"/>
    <n v="0"/>
    <n v="0"/>
    <n v="0"/>
    <n v="0"/>
    <n v="0"/>
    <n v="0"/>
    <m/>
    <n v="46"/>
  </r>
  <r>
    <x v="382"/>
    <d v="2025-04-30T00:00:00"/>
    <x v="0"/>
    <x v="2"/>
    <x v="1"/>
    <x v="1"/>
    <s v="Free"/>
    <n v="1"/>
    <n v="0"/>
    <n v="0"/>
    <n v="0"/>
    <n v="0"/>
    <n v="0"/>
    <n v="0"/>
    <m/>
    <n v="54.1"/>
  </r>
  <r>
    <x v="383"/>
    <d v="2025-03-07T00:00:00"/>
    <x v="0"/>
    <x v="1"/>
    <x v="1"/>
    <x v="4"/>
    <s v="Basic"/>
    <n v="1"/>
    <n v="0"/>
    <n v="0"/>
    <n v="0"/>
    <n v="0"/>
    <n v="0"/>
    <n v="0"/>
    <m/>
    <n v="82.4"/>
  </r>
  <r>
    <x v="384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x v="385"/>
    <d v="2025-05-22T00:00:00"/>
    <x v="0"/>
    <x v="2"/>
    <x v="1"/>
    <x v="1"/>
    <s v="Free"/>
    <n v="0"/>
    <n v="0"/>
    <n v="0"/>
    <n v="0"/>
    <n v="0"/>
    <n v="2"/>
    <n v="0"/>
    <m/>
    <n v="38"/>
  </r>
  <r>
    <x v="386"/>
    <d v="2025-02-09T00:00:00"/>
    <x v="0"/>
    <x v="2"/>
    <x v="1"/>
    <x v="2"/>
    <s v="Free"/>
    <n v="1"/>
    <n v="1"/>
    <n v="0"/>
    <n v="0"/>
    <n v="0"/>
    <n v="0"/>
    <n v="0"/>
    <m/>
    <n v="43.7"/>
  </r>
  <r>
    <x v="387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x v="388"/>
    <d v="2025-05-01T00:00:00"/>
    <x v="0"/>
    <x v="3"/>
    <x v="1"/>
    <x v="1"/>
    <s v="Premium"/>
    <n v="1"/>
    <n v="0"/>
    <n v="0"/>
    <n v="0"/>
    <n v="0"/>
    <n v="0"/>
    <n v="0"/>
    <m/>
    <n v="61"/>
  </r>
  <r>
    <x v="389"/>
    <d v="2025-01-03T00:00:00"/>
    <x v="0"/>
    <x v="3"/>
    <x v="1"/>
    <x v="2"/>
    <s v="Free"/>
    <n v="1"/>
    <n v="0"/>
    <n v="0"/>
    <n v="0"/>
    <n v="0"/>
    <n v="0"/>
    <n v="0"/>
    <m/>
    <n v="49"/>
  </r>
  <r>
    <x v="390"/>
    <d v="2025-02-13T00:00:00"/>
    <x v="0"/>
    <x v="2"/>
    <x v="1"/>
    <x v="1"/>
    <s v="Free"/>
    <n v="0"/>
    <n v="0"/>
    <n v="0"/>
    <n v="0"/>
    <n v="0"/>
    <n v="0"/>
    <n v="0"/>
    <m/>
    <n v="48.1"/>
  </r>
  <r>
    <x v="391"/>
    <d v="2025-01-14T00:00:00"/>
    <x v="0"/>
    <x v="3"/>
    <x v="0"/>
    <x v="1"/>
    <s v="Free"/>
    <n v="0"/>
    <n v="0"/>
    <n v="0"/>
    <n v="0"/>
    <n v="0"/>
    <n v="2"/>
    <n v="0"/>
    <m/>
    <n v="46.3"/>
  </r>
  <r>
    <x v="392"/>
    <d v="2025-02-24T00:00:00"/>
    <x v="0"/>
    <x v="0"/>
    <x v="1"/>
    <x v="3"/>
    <s v="Free"/>
    <n v="0"/>
    <n v="0"/>
    <n v="0"/>
    <n v="0"/>
    <n v="0"/>
    <n v="0"/>
    <n v="0"/>
    <m/>
    <n v="64"/>
  </r>
  <r>
    <x v="393"/>
    <d v="2025-05-16T00:00:00"/>
    <x v="0"/>
    <x v="1"/>
    <x v="0"/>
    <x v="1"/>
    <s v="Basic"/>
    <n v="1"/>
    <n v="1"/>
    <n v="0"/>
    <n v="0"/>
    <n v="0"/>
    <n v="0"/>
    <n v="0"/>
    <m/>
    <n v="56.2"/>
  </r>
  <r>
    <x v="394"/>
    <d v="2025-04-29T00:00:00"/>
    <x v="0"/>
    <x v="0"/>
    <x v="1"/>
    <x v="2"/>
    <s v="Free"/>
    <n v="1"/>
    <n v="1"/>
    <n v="1"/>
    <n v="0"/>
    <n v="0"/>
    <n v="0"/>
    <n v="0"/>
    <m/>
    <n v="77.5"/>
  </r>
  <r>
    <x v="395"/>
    <d v="2025-04-30T00:00:00"/>
    <x v="0"/>
    <x v="3"/>
    <x v="0"/>
    <x v="0"/>
    <s v="Basic"/>
    <n v="1"/>
    <n v="0"/>
    <n v="0"/>
    <n v="0"/>
    <n v="0"/>
    <n v="0"/>
    <n v="0"/>
    <m/>
    <n v="59.9"/>
  </r>
  <r>
    <x v="396"/>
    <d v="2025-01-09T00:00:00"/>
    <x v="0"/>
    <x v="3"/>
    <x v="0"/>
    <x v="1"/>
    <s v="Free"/>
    <n v="1"/>
    <n v="1"/>
    <n v="0"/>
    <n v="0"/>
    <n v="0"/>
    <n v="0"/>
    <n v="0"/>
    <m/>
    <n v="63"/>
  </r>
  <r>
    <x v="397"/>
    <d v="2025-04-25T00:00:00"/>
    <x v="0"/>
    <x v="3"/>
    <x v="1"/>
    <x v="1"/>
    <s v="Free"/>
    <n v="1"/>
    <n v="1"/>
    <n v="0"/>
    <n v="0"/>
    <n v="0"/>
    <n v="0"/>
    <n v="0"/>
    <m/>
    <n v="76.5"/>
  </r>
  <r>
    <x v="398"/>
    <d v="2025-03-12T00:00:00"/>
    <x v="0"/>
    <x v="0"/>
    <x v="0"/>
    <x v="2"/>
    <s v="Free"/>
    <n v="1"/>
    <n v="0"/>
    <n v="0"/>
    <n v="0"/>
    <n v="0"/>
    <n v="0"/>
    <n v="0"/>
    <m/>
    <n v="39.700000000000003"/>
  </r>
  <r>
    <x v="399"/>
    <d v="2025-03-20T00:00:00"/>
    <x v="0"/>
    <x v="0"/>
    <x v="1"/>
    <x v="1"/>
    <s v="Free"/>
    <n v="1"/>
    <n v="1"/>
    <n v="0"/>
    <n v="0"/>
    <n v="0"/>
    <n v="0"/>
    <n v="0"/>
    <m/>
    <n v="80.2"/>
  </r>
  <r>
    <x v="400"/>
    <d v="2025-02-18T00:00:00"/>
    <x v="0"/>
    <x v="1"/>
    <x v="1"/>
    <x v="2"/>
    <s v="Free"/>
    <n v="1"/>
    <n v="0"/>
    <n v="0"/>
    <n v="0"/>
    <n v="0"/>
    <n v="0"/>
    <n v="0"/>
    <m/>
    <n v="72.2"/>
  </r>
  <r>
    <x v="401"/>
    <d v="2025-01-22T00:00:00"/>
    <x v="0"/>
    <x v="0"/>
    <x v="1"/>
    <x v="4"/>
    <s v="Basic"/>
    <n v="0"/>
    <n v="0"/>
    <n v="0"/>
    <n v="0"/>
    <n v="0"/>
    <n v="0"/>
    <n v="0"/>
    <m/>
    <n v="56"/>
  </r>
  <r>
    <x v="402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x v="403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x v="404"/>
    <d v="2025-04-22T00:00:00"/>
    <x v="0"/>
    <x v="1"/>
    <x v="0"/>
    <x v="3"/>
    <s v="Free"/>
    <n v="1"/>
    <n v="0"/>
    <n v="0"/>
    <n v="0"/>
    <n v="0"/>
    <n v="0"/>
    <n v="0"/>
    <m/>
    <n v="57.9"/>
  </r>
  <r>
    <x v="405"/>
    <d v="2025-01-22T00:00:00"/>
    <x v="0"/>
    <x v="2"/>
    <x v="1"/>
    <x v="1"/>
    <s v="Basic"/>
    <n v="1"/>
    <n v="1"/>
    <n v="0"/>
    <n v="0"/>
    <n v="0"/>
    <n v="0"/>
    <n v="0"/>
    <m/>
    <n v="41.4"/>
  </r>
  <r>
    <x v="406"/>
    <d v="2025-05-11T00:00:00"/>
    <x v="0"/>
    <x v="1"/>
    <x v="1"/>
    <x v="1"/>
    <s v="Basic"/>
    <n v="1"/>
    <n v="0"/>
    <n v="0"/>
    <n v="0"/>
    <n v="0"/>
    <n v="0"/>
    <n v="0"/>
    <m/>
    <n v="60.9"/>
  </r>
  <r>
    <x v="407"/>
    <d v="2025-02-06T00:00:00"/>
    <x v="0"/>
    <x v="3"/>
    <x v="1"/>
    <x v="1"/>
    <s v="Basic"/>
    <n v="0"/>
    <n v="0"/>
    <n v="0"/>
    <n v="0"/>
    <n v="0"/>
    <n v="1"/>
    <n v="0"/>
    <m/>
    <n v="63.8"/>
  </r>
  <r>
    <x v="408"/>
    <d v="2025-02-21T00:00:00"/>
    <x v="0"/>
    <x v="0"/>
    <x v="0"/>
    <x v="1"/>
    <s v="Premium"/>
    <n v="1"/>
    <n v="0"/>
    <n v="0"/>
    <n v="0"/>
    <n v="0"/>
    <n v="0"/>
    <n v="0"/>
    <m/>
    <n v="79.2"/>
  </r>
  <r>
    <x v="409"/>
    <d v="2025-01-13T00:00:00"/>
    <x v="0"/>
    <x v="1"/>
    <x v="1"/>
    <x v="0"/>
    <s v="Premium"/>
    <n v="1"/>
    <n v="1"/>
    <n v="1"/>
    <n v="0"/>
    <n v="0"/>
    <n v="0"/>
    <n v="0"/>
    <m/>
    <n v="53.3"/>
  </r>
  <r>
    <x v="410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x v="411"/>
    <d v="2025-02-26T00:00:00"/>
    <x v="0"/>
    <x v="1"/>
    <x v="0"/>
    <x v="1"/>
    <s v="Basic"/>
    <n v="1"/>
    <n v="1"/>
    <n v="0"/>
    <n v="0"/>
    <n v="0"/>
    <n v="0"/>
    <n v="0"/>
    <m/>
    <n v="62.4"/>
  </r>
  <r>
    <x v="412"/>
    <d v="2025-05-05T00:00:00"/>
    <x v="0"/>
    <x v="0"/>
    <x v="1"/>
    <x v="3"/>
    <s v="Premium"/>
    <n v="1"/>
    <n v="0"/>
    <n v="0"/>
    <n v="0"/>
    <n v="0"/>
    <n v="0"/>
    <n v="0"/>
    <m/>
    <n v="45.5"/>
  </r>
  <r>
    <x v="413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x v="414"/>
    <d v="2025-03-19T00:00:00"/>
    <x v="0"/>
    <x v="3"/>
    <x v="1"/>
    <x v="0"/>
    <s v="Premium"/>
    <n v="1"/>
    <n v="1"/>
    <n v="1"/>
    <n v="0"/>
    <n v="0"/>
    <n v="0"/>
    <n v="0"/>
    <m/>
    <n v="50.1"/>
  </r>
  <r>
    <x v="415"/>
    <d v="2025-01-30T00:00:00"/>
    <x v="0"/>
    <x v="2"/>
    <x v="0"/>
    <x v="2"/>
    <s v="Free"/>
    <n v="1"/>
    <n v="1"/>
    <n v="1"/>
    <n v="0"/>
    <n v="0"/>
    <n v="2"/>
    <n v="0"/>
    <m/>
    <n v="58.1"/>
  </r>
  <r>
    <x v="416"/>
    <d v="2025-04-28T00:00:00"/>
    <x v="0"/>
    <x v="2"/>
    <x v="1"/>
    <x v="1"/>
    <s v="Basic"/>
    <n v="1"/>
    <n v="0"/>
    <n v="0"/>
    <n v="0"/>
    <n v="0"/>
    <n v="0"/>
    <n v="0"/>
    <m/>
    <n v="42.9"/>
  </r>
  <r>
    <x v="417"/>
    <d v="2025-03-07T00:00:00"/>
    <x v="0"/>
    <x v="0"/>
    <x v="1"/>
    <x v="3"/>
    <s v="Basic"/>
    <n v="0"/>
    <n v="0"/>
    <n v="0"/>
    <n v="0"/>
    <n v="0"/>
    <n v="0"/>
    <n v="0"/>
    <m/>
    <n v="69.7"/>
  </r>
  <r>
    <x v="418"/>
    <d v="2025-04-07T00:00:00"/>
    <x v="0"/>
    <x v="0"/>
    <x v="0"/>
    <x v="1"/>
    <s v="Free"/>
    <n v="0"/>
    <n v="0"/>
    <n v="0"/>
    <n v="0"/>
    <n v="0"/>
    <n v="0"/>
    <n v="0"/>
    <m/>
    <n v="63.3"/>
  </r>
  <r>
    <x v="419"/>
    <d v="2025-05-08T00:00:00"/>
    <x v="0"/>
    <x v="0"/>
    <x v="0"/>
    <x v="1"/>
    <s v="Premium"/>
    <n v="1"/>
    <n v="0"/>
    <n v="0"/>
    <n v="0"/>
    <n v="0"/>
    <n v="0"/>
    <n v="0"/>
    <m/>
    <n v="71.2"/>
  </r>
  <r>
    <x v="420"/>
    <d v="2025-04-15T00:00:00"/>
    <x v="0"/>
    <x v="3"/>
    <x v="1"/>
    <x v="0"/>
    <s v="Free"/>
    <n v="1"/>
    <n v="0"/>
    <n v="0"/>
    <n v="0"/>
    <n v="0"/>
    <n v="0"/>
    <n v="0"/>
    <m/>
    <n v="39.1"/>
  </r>
  <r>
    <x v="421"/>
    <d v="2025-04-20T00:00:00"/>
    <x v="0"/>
    <x v="2"/>
    <x v="0"/>
    <x v="4"/>
    <s v="Free"/>
    <n v="1"/>
    <n v="0"/>
    <n v="0"/>
    <n v="0"/>
    <n v="0"/>
    <n v="0"/>
    <n v="0"/>
    <m/>
    <n v="42.6"/>
  </r>
  <r>
    <x v="422"/>
    <d v="2025-05-30T00:00:00"/>
    <x v="0"/>
    <x v="3"/>
    <x v="2"/>
    <x v="1"/>
    <s v="Free"/>
    <n v="0"/>
    <n v="0"/>
    <n v="0"/>
    <n v="0"/>
    <n v="0"/>
    <n v="0"/>
    <n v="0"/>
    <m/>
    <n v="74.400000000000006"/>
  </r>
  <r>
    <x v="423"/>
    <d v="2025-02-13T00:00:00"/>
    <x v="0"/>
    <x v="1"/>
    <x v="1"/>
    <x v="3"/>
    <s v="Free"/>
    <n v="0"/>
    <n v="0"/>
    <n v="0"/>
    <n v="0"/>
    <n v="0"/>
    <n v="0"/>
    <n v="0"/>
    <m/>
    <n v="55.6"/>
  </r>
  <r>
    <x v="424"/>
    <d v="2025-04-28T00:00:00"/>
    <x v="0"/>
    <x v="1"/>
    <x v="1"/>
    <x v="4"/>
    <s v="Free"/>
    <n v="1"/>
    <n v="0"/>
    <n v="0"/>
    <n v="0"/>
    <n v="0"/>
    <n v="0"/>
    <n v="0"/>
    <m/>
    <n v="35.799999999999997"/>
  </r>
  <r>
    <x v="425"/>
    <d v="2025-02-12T00:00:00"/>
    <x v="0"/>
    <x v="0"/>
    <x v="1"/>
    <x v="2"/>
    <s v="Basic"/>
    <n v="1"/>
    <n v="0"/>
    <n v="0"/>
    <n v="0"/>
    <n v="0"/>
    <n v="1"/>
    <n v="0"/>
    <m/>
    <n v="28.2"/>
  </r>
  <r>
    <x v="426"/>
    <d v="2025-02-12T00:00:00"/>
    <x v="0"/>
    <x v="2"/>
    <x v="1"/>
    <x v="1"/>
    <s v="Free"/>
    <n v="0"/>
    <n v="0"/>
    <n v="0"/>
    <n v="0"/>
    <n v="0"/>
    <n v="2"/>
    <n v="0"/>
    <m/>
    <n v="44.4"/>
  </r>
  <r>
    <x v="427"/>
    <d v="2025-03-27T00:00:00"/>
    <x v="0"/>
    <x v="0"/>
    <x v="1"/>
    <x v="0"/>
    <s v="Premium"/>
    <n v="1"/>
    <n v="0"/>
    <n v="0"/>
    <n v="0"/>
    <n v="0"/>
    <n v="0"/>
    <n v="0"/>
    <m/>
    <n v="49.9"/>
  </r>
  <r>
    <x v="428"/>
    <d v="2025-04-12T00:00:00"/>
    <x v="0"/>
    <x v="3"/>
    <x v="0"/>
    <x v="1"/>
    <s v="Free"/>
    <n v="0"/>
    <n v="0"/>
    <n v="0"/>
    <n v="0"/>
    <n v="0"/>
    <n v="0"/>
    <n v="0"/>
    <m/>
    <n v="40.4"/>
  </r>
  <r>
    <x v="429"/>
    <d v="2025-01-30T00:00:00"/>
    <x v="0"/>
    <x v="1"/>
    <x v="1"/>
    <x v="4"/>
    <s v="Free"/>
    <n v="0"/>
    <n v="0"/>
    <n v="0"/>
    <n v="0"/>
    <n v="0"/>
    <n v="0"/>
    <n v="0"/>
    <m/>
    <n v="60.4"/>
  </r>
  <r>
    <x v="430"/>
    <d v="2025-05-28T00:00:00"/>
    <x v="0"/>
    <x v="1"/>
    <x v="1"/>
    <x v="4"/>
    <s v="Premium"/>
    <n v="0"/>
    <n v="0"/>
    <n v="0"/>
    <n v="0"/>
    <n v="0"/>
    <n v="1"/>
    <n v="0"/>
    <m/>
    <n v="52.4"/>
  </r>
  <r>
    <x v="431"/>
    <d v="2025-05-01T00:00:00"/>
    <x v="0"/>
    <x v="3"/>
    <x v="1"/>
    <x v="1"/>
    <s v="Basic"/>
    <n v="1"/>
    <n v="1"/>
    <n v="0"/>
    <n v="0"/>
    <n v="0"/>
    <n v="0"/>
    <n v="0"/>
    <m/>
    <n v="48.8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433"/>
    <d v="2025-01-10T00:00:00"/>
    <x v="0"/>
    <x v="3"/>
    <x v="0"/>
    <x v="4"/>
    <s v="Basic"/>
    <n v="0"/>
    <n v="0"/>
    <n v="0"/>
    <n v="0"/>
    <n v="0"/>
    <n v="0"/>
    <n v="0"/>
    <m/>
    <n v="68.2"/>
  </r>
  <r>
    <x v="434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x v="435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x v="436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x v="437"/>
    <d v="2025-05-27T00:00:00"/>
    <x v="0"/>
    <x v="2"/>
    <x v="1"/>
    <x v="2"/>
    <s v="Basic"/>
    <n v="1"/>
    <n v="1"/>
    <n v="1"/>
    <n v="0"/>
    <n v="0"/>
    <n v="0"/>
    <n v="0"/>
    <m/>
    <n v="78.3"/>
  </r>
  <r>
    <x v="438"/>
    <d v="2025-05-22T00:00:00"/>
    <x v="0"/>
    <x v="1"/>
    <x v="0"/>
    <x v="0"/>
    <s v="Basic"/>
    <n v="0"/>
    <n v="0"/>
    <n v="0"/>
    <n v="0"/>
    <n v="0"/>
    <n v="0"/>
    <n v="0"/>
    <m/>
    <n v="49.2"/>
  </r>
  <r>
    <x v="439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x v="1"/>
    <x v="2"/>
    <s v="Basic"/>
    <n v="1"/>
    <n v="1"/>
    <n v="1"/>
    <n v="0"/>
    <n v="0"/>
    <n v="0"/>
    <n v="0"/>
    <m/>
    <n v="46.3"/>
  </r>
  <r>
    <x v="441"/>
    <d v="2025-05-24T00:00:00"/>
    <x v="0"/>
    <x v="2"/>
    <x v="1"/>
    <x v="2"/>
    <s v="Basic"/>
    <n v="1"/>
    <n v="0"/>
    <n v="0"/>
    <n v="0"/>
    <n v="0"/>
    <n v="0"/>
    <n v="0"/>
    <m/>
    <n v="55.7"/>
  </r>
  <r>
    <x v="442"/>
    <d v="2025-04-25T00:00:00"/>
    <x v="0"/>
    <x v="3"/>
    <x v="1"/>
    <x v="4"/>
    <s v="Free"/>
    <n v="1"/>
    <n v="0"/>
    <n v="0"/>
    <n v="0"/>
    <n v="0"/>
    <n v="0"/>
    <n v="0"/>
    <m/>
    <n v="44.5"/>
  </r>
  <r>
    <x v="443"/>
    <d v="2025-04-12T00:00:00"/>
    <x v="0"/>
    <x v="1"/>
    <x v="0"/>
    <x v="3"/>
    <s v="Free"/>
    <n v="1"/>
    <n v="1"/>
    <n v="1"/>
    <n v="0"/>
    <n v="0"/>
    <n v="1"/>
    <n v="0"/>
    <m/>
    <n v="47.9"/>
  </r>
  <r>
    <x v="444"/>
    <d v="2025-04-23T00:00:00"/>
    <x v="0"/>
    <x v="3"/>
    <x v="1"/>
    <x v="1"/>
    <s v="Premium"/>
    <n v="1"/>
    <n v="0"/>
    <n v="0"/>
    <n v="0"/>
    <n v="0"/>
    <n v="0"/>
    <n v="0"/>
    <m/>
    <n v="43.9"/>
  </r>
  <r>
    <x v="445"/>
    <d v="2025-03-30T00:00:00"/>
    <x v="0"/>
    <x v="0"/>
    <x v="0"/>
    <x v="3"/>
    <s v="Free"/>
    <n v="1"/>
    <n v="1"/>
    <n v="1"/>
    <n v="0"/>
    <n v="0"/>
    <n v="1"/>
    <n v="0"/>
    <m/>
    <n v="67.7"/>
  </r>
  <r>
    <x v="446"/>
    <d v="2025-01-18T00:00:00"/>
    <x v="0"/>
    <x v="2"/>
    <x v="1"/>
    <x v="3"/>
    <s v="Basic"/>
    <n v="0"/>
    <n v="0"/>
    <n v="0"/>
    <n v="0"/>
    <n v="0"/>
    <n v="0"/>
    <n v="0"/>
    <m/>
    <n v="43.7"/>
  </r>
  <r>
    <x v="447"/>
    <d v="2025-04-09T00:00:00"/>
    <x v="0"/>
    <x v="2"/>
    <x v="1"/>
    <x v="1"/>
    <s v="Free"/>
    <n v="1"/>
    <n v="0"/>
    <n v="0"/>
    <n v="0"/>
    <n v="0"/>
    <n v="0"/>
    <n v="0"/>
    <m/>
    <n v="68.8"/>
  </r>
  <r>
    <x v="448"/>
    <d v="2025-01-11T00:00:00"/>
    <x v="0"/>
    <x v="1"/>
    <x v="1"/>
    <x v="1"/>
    <s v="Free"/>
    <n v="1"/>
    <n v="1"/>
    <n v="1"/>
    <n v="0"/>
    <n v="0"/>
    <n v="0"/>
    <n v="0"/>
    <m/>
    <n v="59.2"/>
  </r>
  <r>
    <x v="449"/>
    <d v="2025-03-05T00:00:00"/>
    <x v="0"/>
    <x v="2"/>
    <x v="1"/>
    <x v="2"/>
    <s v="Free"/>
    <n v="1"/>
    <n v="0"/>
    <n v="0"/>
    <n v="0"/>
    <n v="0"/>
    <n v="0"/>
    <n v="0"/>
    <m/>
    <n v="48.6"/>
  </r>
  <r>
    <x v="450"/>
    <d v="2025-02-17T00:00:00"/>
    <x v="0"/>
    <x v="0"/>
    <x v="2"/>
    <x v="4"/>
    <s v="Free"/>
    <n v="1"/>
    <n v="1"/>
    <n v="1"/>
    <n v="0"/>
    <n v="0"/>
    <n v="0"/>
    <n v="0"/>
    <m/>
    <n v="56.9"/>
  </r>
  <r>
    <x v="451"/>
    <d v="2025-05-07T00:00:00"/>
    <x v="0"/>
    <x v="0"/>
    <x v="0"/>
    <x v="2"/>
    <s v="Free"/>
    <n v="0"/>
    <n v="0"/>
    <n v="0"/>
    <n v="0"/>
    <n v="0"/>
    <n v="0"/>
    <n v="0"/>
    <m/>
    <n v="55.8"/>
  </r>
  <r>
    <x v="452"/>
    <d v="2025-04-10T00:00:00"/>
    <x v="0"/>
    <x v="2"/>
    <x v="1"/>
    <x v="2"/>
    <s v="Premium"/>
    <n v="0"/>
    <n v="0"/>
    <n v="0"/>
    <n v="0"/>
    <n v="0"/>
    <n v="0"/>
    <n v="0"/>
    <m/>
    <n v="63.3"/>
  </r>
  <r>
    <x v="453"/>
    <d v="2025-04-21T00:00:00"/>
    <x v="0"/>
    <x v="0"/>
    <x v="1"/>
    <x v="4"/>
    <s v="Free"/>
    <n v="1"/>
    <n v="0"/>
    <n v="0"/>
    <n v="0"/>
    <n v="0"/>
    <n v="0"/>
    <n v="0"/>
    <m/>
    <n v="52.2"/>
  </r>
  <r>
    <x v="454"/>
    <d v="2025-02-25T00:00:00"/>
    <x v="0"/>
    <x v="3"/>
    <x v="2"/>
    <x v="5"/>
    <s v="Free"/>
    <n v="0"/>
    <n v="0"/>
    <n v="0"/>
    <n v="0"/>
    <n v="0"/>
    <n v="0"/>
    <n v="0"/>
    <m/>
    <n v="51.5"/>
  </r>
  <r>
    <x v="455"/>
    <d v="2025-05-14T00:00:00"/>
    <x v="0"/>
    <x v="2"/>
    <x v="0"/>
    <x v="1"/>
    <s v="Free"/>
    <n v="0"/>
    <n v="0"/>
    <n v="0"/>
    <n v="0"/>
    <n v="0"/>
    <n v="0"/>
    <n v="0"/>
    <m/>
    <n v="50.3"/>
  </r>
  <r>
    <x v="456"/>
    <d v="2025-03-10T00:00:00"/>
    <x v="0"/>
    <x v="0"/>
    <x v="1"/>
    <x v="0"/>
    <s v="Basic"/>
    <n v="1"/>
    <n v="0"/>
    <n v="0"/>
    <n v="0"/>
    <n v="0"/>
    <n v="1"/>
    <n v="0"/>
    <m/>
    <n v="35.4"/>
  </r>
  <r>
    <x v="457"/>
    <d v="2025-01-31T00:00:00"/>
    <x v="0"/>
    <x v="1"/>
    <x v="0"/>
    <x v="1"/>
    <s v="Premium"/>
    <n v="1"/>
    <n v="0"/>
    <n v="0"/>
    <n v="0"/>
    <n v="0"/>
    <n v="1"/>
    <n v="0"/>
    <m/>
    <n v="54.1"/>
  </r>
  <r>
    <x v="458"/>
    <d v="2025-01-17T00:00:00"/>
    <x v="0"/>
    <x v="3"/>
    <x v="1"/>
    <x v="1"/>
    <s v="Premium"/>
    <n v="1"/>
    <n v="0"/>
    <n v="0"/>
    <n v="0"/>
    <n v="0"/>
    <n v="0"/>
    <n v="0"/>
    <m/>
    <n v="56.2"/>
  </r>
  <r>
    <x v="459"/>
    <d v="2025-03-12T00:00:00"/>
    <x v="0"/>
    <x v="3"/>
    <x v="1"/>
    <x v="2"/>
    <s v="Free"/>
    <n v="0"/>
    <n v="0"/>
    <n v="0"/>
    <n v="0"/>
    <n v="0"/>
    <n v="3"/>
    <n v="0"/>
    <m/>
    <n v="43.7"/>
  </r>
  <r>
    <x v="460"/>
    <d v="2025-02-28T00:00:00"/>
    <x v="0"/>
    <x v="1"/>
    <x v="0"/>
    <x v="1"/>
    <s v="Premium"/>
    <n v="1"/>
    <n v="1"/>
    <n v="0"/>
    <n v="0"/>
    <n v="0"/>
    <n v="0"/>
    <n v="0"/>
    <m/>
    <n v="51.3"/>
  </r>
  <r>
    <x v="461"/>
    <d v="2025-05-19T00:00:00"/>
    <x v="0"/>
    <x v="0"/>
    <x v="3"/>
    <x v="1"/>
    <s v="Basic"/>
    <n v="1"/>
    <n v="0"/>
    <n v="0"/>
    <n v="0"/>
    <n v="0"/>
    <n v="0"/>
    <n v="0"/>
    <m/>
    <n v="50.5"/>
  </r>
  <r>
    <x v="462"/>
    <d v="2025-02-23T00:00:00"/>
    <x v="0"/>
    <x v="0"/>
    <x v="1"/>
    <x v="3"/>
    <s v="Basic"/>
    <n v="1"/>
    <n v="0"/>
    <n v="0"/>
    <n v="0"/>
    <n v="0"/>
    <n v="0"/>
    <n v="0"/>
    <m/>
    <n v="57.3"/>
  </r>
  <r>
    <x v="463"/>
    <d v="2025-02-20T00:00:00"/>
    <x v="0"/>
    <x v="1"/>
    <x v="0"/>
    <x v="1"/>
    <s v="Free"/>
    <n v="1"/>
    <n v="1"/>
    <n v="1"/>
    <n v="0"/>
    <n v="0"/>
    <n v="0"/>
    <n v="0"/>
    <m/>
    <n v="58.4"/>
  </r>
  <r>
    <x v="464"/>
    <d v="2025-04-12T00:00:00"/>
    <x v="0"/>
    <x v="0"/>
    <x v="1"/>
    <x v="5"/>
    <s v="Free"/>
    <n v="0"/>
    <n v="0"/>
    <n v="0"/>
    <n v="0"/>
    <n v="0"/>
    <n v="0"/>
    <n v="0"/>
    <m/>
    <n v="56.5"/>
  </r>
  <r>
    <x v="465"/>
    <d v="2025-01-08T00:00:00"/>
    <x v="0"/>
    <x v="1"/>
    <x v="1"/>
    <x v="0"/>
    <s v="Free"/>
    <n v="0"/>
    <n v="0"/>
    <n v="0"/>
    <n v="0"/>
    <n v="0"/>
    <n v="0"/>
    <n v="0"/>
    <m/>
    <n v="69.599999999999994"/>
  </r>
  <r>
    <x v="466"/>
    <d v="2025-02-13T00:00:00"/>
    <x v="0"/>
    <x v="1"/>
    <x v="1"/>
    <x v="1"/>
    <s v="Basic"/>
    <n v="0"/>
    <n v="0"/>
    <n v="0"/>
    <n v="0"/>
    <n v="0"/>
    <n v="0"/>
    <n v="0"/>
    <m/>
    <n v="6.2"/>
  </r>
  <r>
    <x v="467"/>
    <d v="2025-05-21T00:00:00"/>
    <x v="0"/>
    <x v="2"/>
    <x v="0"/>
    <x v="0"/>
    <s v="Free"/>
    <n v="1"/>
    <n v="1"/>
    <n v="1"/>
    <n v="0"/>
    <n v="0"/>
    <n v="0"/>
    <n v="0"/>
    <m/>
    <n v="54.3"/>
  </r>
  <r>
    <x v="468"/>
    <d v="2025-05-30T00:00:00"/>
    <x v="0"/>
    <x v="0"/>
    <x v="1"/>
    <x v="1"/>
    <s v="Basic"/>
    <n v="0"/>
    <n v="0"/>
    <n v="0"/>
    <n v="0"/>
    <n v="0"/>
    <n v="0"/>
    <n v="0"/>
    <m/>
    <n v="59.8"/>
  </r>
  <r>
    <x v="469"/>
    <d v="2025-05-20T00:00:00"/>
    <x v="0"/>
    <x v="1"/>
    <x v="1"/>
    <x v="2"/>
    <s v="Free"/>
    <n v="0"/>
    <n v="0"/>
    <n v="0"/>
    <n v="0"/>
    <n v="0"/>
    <n v="0"/>
    <n v="0"/>
    <m/>
    <n v="58.9"/>
  </r>
  <r>
    <x v="470"/>
    <d v="2025-01-09T00:00:00"/>
    <x v="0"/>
    <x v="2"/>
    <x v="0"/>
    <x v="1"/>
    <s v="Free"/>
    <n v="0"/>
    <n v="0"/>
    <n v="0"/>
    <n v="0"/>
    <n v="0"/>
    <n v="1"/>
    <n v="0"/>
    <m/>
    <n v="52.9"/>
  </r>
  <r>
    <x v="471"/>
    <d v="2025-03-07T00:00:00"/>
    <x v="0"/>
    <x v="1"/>
    <x v="1"/>
    <x v="1"/>
    <s v="Free"/>
    <n v="0"/>
    <n v="0"/>
    <n v="0"/>
    <n v="0"/>
    <n v="0"/>
    <n v="0"/>
    <n v="0"/>
    <m/>
    <n v="67.8"/>
  </r>
  <r>
    <x v="472"/>
    <d v="2025-04-23T00:00:00"/>
    <x v="0"/>
    <x v="3"/>
    <x v="1"/>
    <x v="4"/>
    <s v="Free"/>
    <n v="0"/>
    <n v="0"/>
    <n v="0"/>
    <n v="0"/>
    <n v="0"/>
    <n v="0"/>
    <n v="0"/>
    <m/>
    <n v="48.7"/>
  </r>
  <r>
    <x v="473"/>
    <d v="2025-03-08T00:00:00"/>
    <x v="0"/>
    <x v="2"/>
    <x v="1"/>
    <x v="1"/>
    <s v="Basic"/>
    <n v="0"/>
    <n v="0"/>
    <n v="0"/>
    <n v="0"/>
    <n v="0"/>
    <n v="0"/>
    <n v="0"/>
    <m/>
    <n v="59"/>
  </r>
  <r>
    <x v="474"/>
    <d v="2025-02-14T00:00:00"/>
    <x v="0"/>
    <x v="3"/>
    <x v="1"/>
    <x v="3"/>
    <s v="Free"/>
    <n v="0"/>
    <n v="0"/>
    <n v="0"/>
    <n v="0"/>
    <n v="0"/>
    <n v="0"/>
    <n v="0"/>
    <m/>
    <n v="63.2"/>
  </r>
  <r>
    <x v="475"/>
    <d v="2025-05-17T00:00:00"/>
    <x v="0"/>
    <x v="1"/>
    <x v="1"/>
    <x v="3"/>
    <s v="Basic"/>
    <n v="1"/>
    <n v="0"/>
    <n v="0"/>
    <n v="0"/>
    <n v="0"/>
    <n v="0"/>
    <n v="0"/>
    <m/>
    <n v="68.7"/>
  </r>
  <r>
    <x v="476"/>
    <d v="2025-04-25T00:00:00"/>
    <x v="0"/>
    <x v="3"/>
    <x v="1"/>
    <x v="3"/>
    <s v="Free"/>
    <n v="0"/>
    <n v="0"/>
    <n v="0"/>
    <n v="0"/>
    <n v="0"/>
    <n v="0"/>
    <n v="0"/>
    <m/>
    <n v="52.1"/>
  </r>
  <r>
    <x v="477"/>
    <d v="2025-03-04T00:00:00"/>
    <x v="0"/>
    <x v="3"/>
    <x v="0"/>
    <x v="4"/>
    <s v="Basic"/>
    <n v="0"/>
    <n v="0"/>
    <n v="0"/>
    <n v="0"/>
    <n v="0"/>
    <n v="0"/>
    <n v="0"/>
    <m/>
    <n v="56.5"/>
  </r>
  <r>
    <x v="478"/>
    <d v="2025-03-18T00:00:00"/>
    <x v="0"/>
    <x v="3"/>
    <x v="1"/>
    <x v="1"/>
    <s v="Free"/>
    <n v="1"/>
    <n v="0"/>
    <n v="0"/>
    <n v="0"/>
    <n v="0"/>
    <n v="0"/>
    <n v="0"/>
    <m/>
    <n v="64.400000000000006"/>
  </r>
  <r>
    <x v="479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x v="480"/>
    <d v="2025-05-20T00:00:00"/>
    <x v="0"/>
    <x v="1"/>
    <x v="2"/>
    <x v="3"/>
    <s v="Free"/>
    <n v="1"/>
    <n v="1"/>
    <n v="1"/>
    <n v="0"/>
    <n v="0"/>
    <n v="0"/>
    <n v="0"/>
    <m/>
    <n v="100"/>
  </r>
  <r>
    <x v="481"/>
    <d v="2025-02-13T00:00:00"/>
    <x v="0"/>
    <x v="0"/>
    <x v="3"/>
    <x v="1"/>
    <s v="Basic"/>
    <n v="1"/>
    <n v="1"/>
    <n v="1"/>
    <n v="0"/>
    <n v="0"/>
    <n v="0"/>
    <n v="0"/>
    <m/>
    <n v="50.4"/>
  </r>
  <r>
    <x v="482"/>
    <d v="2025-04-12T00:00:00"/>
    <x v="0"/>
    <x v="1"/>
    <x v="0"/>
    <x v="1"/>
    <s v="Basic"/>
    <n v="0"/>
    <n v="0"/>
    <n v="0"/>
    <n v="0"/>
    <n v="0"/>
    <n v="0"/>
    <n v="0"/>
    <m/>
    <n v="41.5"/>
  </r>
  <r>
    <x v="483"/>
    <d v="2025-04-07T00:00:00"/>
    <x v="0"/>
    <x v="0"/>
    <x v="1"/>
    <x v="0"/>
    <s v="Free"/>
    <n v="0"/>
    <n v="0"/>
    <n v="0"/>
    <n v="0"/>
    <n v="0"/>
    <n v="0"/>
    <n v="0"/>
    <m/>
    <n v="86.2"/>
  </r>
  <r>
    <x v="484"/>
    <d v="2025-03-12T00:00:00"/>
    <x v="0"/>
    <x v="0"/>
    <x v="0"/>
    <x v="4"/>
    <s v="Free"/>
    <n v="1"/>
    <n v="1"/>
    <n v="1"/>
    <n v="0"/>
    <n v="0"/>
    <n v="2"/>
    <n v="0"/>
    <m/>
    <n v="50.8"/>
  </r>
  <r>
    <x v="485"/>
    <d v="2025-02-07T00:00:00"/>
    <x v="0"/>
    <x v="1"/>
    <x v="1"/>
    <x v="1"/>
    <s v="Free"/>
    <n v="1"/>
    <n v="0"/>
    <n v="0"/>
    <n v="0"/>
    <n v="0"/>
    <n v="0"/>
    <n v="0"/>
    <m/>
    <n v="50.9"/>
  </r>
  <r>
    <x v="486"/>
    <d v="2025-05-05T00:00:00"/>
    <x v="0"/>
    <x v="0"/>
    <x v="1"/>
    <x v="1"/>
    <s v="Premium"/>
    <n v="1"/>
    <n v="1"/>
    <n v="0"/>
    <n v="0"/>
    <n v="0"/>
    <n v="0"/>
    <n v="0"/>
    <m/>
    <n v="87.5"/>
  </r>
  <r>
    <x v="487"/>
    <d v="2025-03-18T00:00:00"/>
    <x v="0"/>
    <x v="3"/>
    <x v="1"/>
    <x v="3"/>
    <s v="Free"/>
    <n v="0"/>
    <n v="0"/>
    <n v="0"/>
    <n v="0"/>
    <n v="0"/>
    <n v="0"/>
    <n v="0"/>
    <m/>
    <n v="43.6"/>
  </r>
  <r>
    <x v="488"/>
    <d v="2025-01-05T00:00:00"/>
    <x v="0"/>
    <x v="3"/>
    <x v="1"/>
    <x v="2"/>
    <s v="Basic"/>
    <n v="1"/>
    <n v="0"/>
    <n v="0"/>
    <n v="0"/>
    <n v="0"/>
    <n v="0"/>
    <n v="0"/>
    <m/>
    <n v="55.5"/>
  </r>
  <r>
    <x v="489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x v="490"/>
    <d v="2025-01-03T00:00:00"/>
    <x v="0"/>
    <x v="3"/>
    <x v="1"/>
    <x v="4"/>
    <s v="Basic"/>
    <n v="1"/>
    <n v="1"/>
    <n v="0"/>
    <n v="0"/>
    <n v="0"/>
    <n v="1"/>
    <n v="0"/>
    <m/>
    <n v="44.3"/>
  </r>
  <r>
    <x v="491"/>
    <d v="2025-05-08T00:00:00"/>
    <x v="0"/>
    <x v="3"/>
    <x v="1"/>
    <x v="2"/>
    <s v="Free"/>
    <n v="1"/>
    <n v="1"/>
    <n v="0"/>
    <n v="0"/>
    <n v="0"/>
    <n v="0"/>
    <n v="0"/>
    <m/>
    <n v="45.2"/>
  </r>
  <r>
    <x v="492"/>
    <d v="2025-03-05T00:00:00"/>
    <x v="0"/>
    <x v="3"/>
    <x v="0"/>
    <x v="0"/>
    <s v="Basic"/>
    <n v="1"/>
    <n v="0"/>
    <n v="0"/>
    <n v="0"/>
    <n v="0"/>
    <n v="2"/>
    <n v="0"/>
    <m/>
    <n v="46.1"/>
  </r>
  <r>
    <x v="493"/>
    <d v="2025-02-17T00:00:00"/>
    <x v="0"/>
    <x v="0"/>
    <x v="1"/>
    <x v="1"/>
    <s v="Premium"/>
    <n v="1"/>
    <n v="0"/>
    <n v="0"/>
    <n v="0"/>
    <n v="0"/>
    <n v="0"/>
    <n v="0"/>
    <m/>
    <n v="49.6"/>
  </r>
  <r>
    <x v="494"/>
    <d v="2025-01-09T00:00:00"/>
    <x v="0"/>
    <x v="3"/>
    <x v="1"/>
    <x v="3"/>
    <s v="Basic"/>
    <n v="0"/>
    <n v="0"/>
    <n v="0"/>
    <n v="0"/>
    <n v="0"/>
    <n v="0"/>
    <n v="0"/>
    <m/>
    <n v="70.5"/>
  </r>
  <r>
    <x v="495"/>
    <d v="2025-05-05T00:00:00"/>
    <x v="0"/>
    <x v="3"/>
    <x v="1"/>
    <x v="0"/>
    <s v="Basic"/>
    <n v="0"/>
    <n v="0"/>
    <n v="0"/>
    <n v="0"/>
    <n v="0"/>
    <n v="1"/>
    <n v="0"/>
    <m/>
    <n v="60.8"/>
  </r>
  <r>
    <x v="496"/>
    <d v="2025-04-16T00:00:00"/>
    <x v="0"/>
    <x v="2"/>
    <x v="1"/>
    <x v="0"/>
    <s v="Basic"/>
    <n v="0"/>
    <n v="0"/>
    <n v="0"/>
    <n v="0"/>
    <n v="0"/>
    <n v="1"/>
    <n v="0"/>
    <m/>
    <n v="50.5"/>
  </r>
  <r>
    <x v="497"/>
    <d v="2025-03-02T00:00:00"/>
    <x v="0"/>
    <x v="3"/>
    <x v="0"/>
    <x v="1"/>
    <s v="Free"/>
    <n v="1"/>
    <n v="0"/>
    <n v="0"/>
    <n v="0"/>
    <n v="0"/>
    <n v="0"/>
    <n v="0"/>
    <m/>
    <n v="54.9"/>
  </r>
  <r>
    <x v="498"/>
    <d v="2025-04-14T00:00:00"/>
    <x v="0"/>
    <x v="3"/>
    <x v="1"/>
    <x v="4"/>
    <s v="Premium"/>
    <n v="0"/>
    <n v="0"/>
    <n v="0"/>
    <n v="0"/>
    <n v="0"/>
    <n v="0"/>
    <n v="0"/>
    <m/>
    <n v="29.9"/>
  </r>
  <r>
    <x v="499"/>
    <d v="2025-02-15T00:00:00"/>
    <x v="0"/>
    <x v="2"/>
    <x v="0"/>
    <x v="2"/>
    <s v="Basic"/>
    <n v="0"/>
    <n v="0"/>
    <n v="0"/>
    <n v="0"/>
    <n v="0"/>
    <n v="0"/>
    <n v="0"/>
    <m/>
    <n v="48.3"/>
  </r>
  <r>
    <x v="500"/>
    <d v="2025-02-13T00:00:00"/>
    <x v="0"/>
    <x v="1"/>
    <x v="1"/>
    <x v="4"/>
    <s v="Free"/>
    <n v="1"/>
    <n v="1"/>
    <n v="1"/>
    <n v="1"/>
    <n v="513.61"/>
    <n v="0"/>
    <n v="0"/>
    <n v="7"/>
    <n v="41.3"/>
  </r>
  <r>
    <x v="501"/>
    <d v="2025-03-06T00:00:00"/>
    <x v="0"/>
    <x v="0"/>
    <x v="1"/>
    <x v="0"/>
    <s v="Free"/>
    <n v="0"/>
    <n v="0"/>
    <n v="0"/>
    <n v="0"/>
    <n v="0"/>
    <n v="0"/>
    <n v="0"/>
    <m/>
    <n v="61.4"/>
  </r>
  <r>
    <x v="502"/>
    <d v="2025-02-18T00:00:00"/>
    <x v="0"/>
    <x v="3"/>
    <x v="0"/>
    <x v="4"/>
    <s v="Free"/>
    <n v="0"/>
    <n v="0"/>
    <n v="0"/>
    <n v="0"/>
    <n v="0"/>
    <n v="0"/>
    <n v="0"/>
    <m/>
    <n v="57.8"/>
  </r>
  <r>
    <x v="503"/>
    <d v="2025-04-07T00:00:00"/>
    <x v="0"/>
    <x v="0"/>
    <x v="0"/>
    <x v="1"/>
    <s v="Free"/>
    <n v="0"/>
    <n v="0"/>
    <n v="0"/>
    <n v="0"/>
    <n v="0"/>
    <n v="0"/>
    <n v="0"/>
    <m/>
    <n v="78.2"/>
  </r>
  <r>
    <x v="504"/>
    <d v="2025-04-06T00:00:00"/>
    <x v="0"/>
    <x v="0"/>
    <x v="1"/>
    <x v="3"/>
    <s v="Free"/>
    <n v="0"/>
    <n v="0"/>
    <n v="0"/>
    <n v="0"/>
    <n v="0"/>
    <n v="0"/>
    <n v="0"/>
    <m/>
    <n v="63.8"/>
  </r>
  <r>
    <x v="505"/>
    <d v="2025-01-30T00:00:00"/>
    <x v="0"/>
    <x v="0"/>
    <x v="0"/>
    <x v="4"/>
    <s v="Free"/>
    <n v="1"/>
    <n v="0"/>
    <n v="0"/>
    <n v="0"/>
    <n v="0"/>
    <n v="0"/>
    <n v="0"/>
    <m/>
    <n v="56.8"/>
  </r>
  <r>
    <x v="506"/>
    <d v="2025-05-13T00:00:00"/>
    <x v="0"/>
    <x v="3"/>
    <x v="0"/>
    <x v="1"/>
    <s v="Basic"/>
    <n v="1"/>
    <n v="1"/>
    <n v="0"/>
    <n v="0"/>
    <n v="0"/>
    <n v="0"/>
    <n v="0"/>
    <m/>
    <n v="59.6"/>
  </r>
  <r>
    <x v="507"/>
    <d v="2025-01-20T00:00:00"/>
    <x v="0"/>
    <x v="1"/>
    <x v="1"/>
    <x v="2"/>
    <s v="Premium"/>
    <n v="1"/>
    <n v="1"/>
    <n v="0"/>
    <n v="0"/>
    <n v="0"/>
    <n v="0"/>
    <n v="0"/>
    <m/>
    <n v="50"/>
  </r>
  <r>
    <x v="508"/>
    <d v="2025-01-30T00:00:00"/>
    <x v="0"/>
    <x v="0"/>
    <x v="2"/>
    <x v="1"/>
    <s v="Free"/>
    <n v="1"/>
    <n v="0"/>
    <n v="0"/>
    <n v="0"/>
    <n v="0"/>
    <n v="0"/>
    <n v="0"/>
    <m/>
    <n v="35.700000000000003"/>
  </r>
  <r>
    <x v="509"/>
    <d v="2025-01-13T00:00:00"/>
    <x v="0"/>
    <x v="3"/>
    <x v="1"/>
    <x v="1"/>
    <s v="Free"/>
    <n v="0"/>
    <n v="0"/>
    <n v="0"/>
    <n v="0"/>
    <n v="0"/>
    <n v="2"/>
    <n v="0"/>
    <m/>
    <n v="47.2"/>
  </r>
  <r>
    <x v="510"/>
    <d v="2025-02-11T00:00:00"/>
    <x v="0"/>
    <x v="0"/>
    <x v="1"/>
    <x v="4"/>
    <s v="Free"/>
    <n v="1"/>
    <n v="1"/>
    <n v="0"/>
    <n v="0"/>
    <n v="0"/>
    <n v="0"/>
    <n v="0"/>
    <m/>
    <n v="56.9"/>
  </r>
  <r>
    <x v="511"/>
    <d v="2025-04-15T00:00:00"/>
    <x v="0"/>
    <x v="3"/>
    <x v="1"/>
    <x v="1"/>
    <s v="Free"/>
    <n v="0"/>
    <n v="0"/>
    <n v="0"/>
    <n v="0"/>
    <n v="0"/>
    <n v="1"/>
    <n v="0"/>
    <m/>
    <n v="57.2"/>
  </r>
  <r>
    <x v="512"/>
    <d v="2025-02-13T00:00:00"/>
    <x v="0"/>
    <x v="3"/>
    <x v="1"/>
    <x v="5"/>
    <s v="Free"/>
    <n v="1"/>
    <n v="1"/>
    <n v="0"/>
    <n v="0"/>
    <n v="0"/>
    <n v="0"/>
    <n v="0"/>
    <m/>
    <n v="31.4"/>
  </r>
  <r>
    <x v="513"/>
    <d v="2025-05-09T00:00:00"/>
    <x v="0"/>
    <x v="3"/>
    <x v="0"/>
    <x v="1"/>
    <s v="Free"/>
    <n v="0"/>
    <n v="0"/>
    <n v="0"/>
    <n v="0"/>
    <n v="0"/>
    <n v="0"/>
    <n v="0"/>
    <m/>
    <n v="71.2"/>
  </r>
  <r>
    <x v="514"/>
    <d v="2025-03-10T00:00:00"/>
    <x v="0"/>
    <x v="0"/>
    <x v="1"/>
    <x v="2"/>
    <s v="Free"/>
    <n v="1"/>
    <n v="1"/>
    <n v="1"/>
    <n v="0"/>
    <n v="0"/>
    <n v="1"/>
    <n v="0"/>
    <m/>
    <n v="38.299999999999997"/>
  </r>
  <r>
    <x v="515"/>
    <d v="2025-04-01T00:00:00"/>
    <x v="0"/>
    <x v="0"/>
    <x v="1"/>
    <x v="1"/>
    <s v="Free"/>
    <n v="1"/>
    <n v="1"/>
    <n v="0"/>
    <n v="0"/>
    <n v="0"/>
    <n v="0"/>
    <n v="0"/>
    <m/>
    <n v="63.1"/>
  </r>
  <r>
    <x v="516"/>
    <d v="2025-05-15T00:00:00"/>
    <x v="0"/>
    <x v="2"/>
    <x v="1"/>
    <x v="3"/>
    <s v="Basic"/>
    <n v="1"/>
    <n v="0"/>
    <n v="0"/>
    <n v="0"/>
    <n v="0"/>
    <n v="0"/>
    <n v="0"/>
    <m/>
    <n v="59.7"/>
  </r>
  <r>
    <x v="517"/>
    <d v="2025-05-04T00:00:00"/>
    <x v="0"/>
    <x v="3"/>
    <x v="0"/>
    <x v="4"/>
    <s v="Premium"/>
    <n v="1"/>
    <n v="1"/>
    <n v="1"/>
    <n v="0"/>
    <n v="0"/>
    <n v="0"/>
    <n v="0"/>
    <m/>
    <n v="59.5"/>
  </r>
  <r>
    <x v="518"/>
    <d v="2025-05-20T00:00:00"/>
    <x v="0"/>
    <x v="2"/>
    <x v="1"/>
    <x v="2"/>
    <s v="Free"/>
    <n v="0"/>
    <n v="0"/>
    <n v="0"/>
    <n v="0"/>
    <n v="0"/>
    <n v="0"/>
    <n v="0"/>
    <m/>
    <n v="78.8"/>
  </r>
  <r>
    <x v="519"/>
    <d v="2025-05-16T00:00:00"/>
    <x v="0"/>
    <x v="1"/>
    <x v="0"/>
    <x v="3"/>
    <s v="Free"/>
    <n v="0"/>
    <n v="0"/>
    <n v="0"/>
    <n v="0"/>
    <n v="0"/>
    <n v="0"/>
    <n v="0"/>
    <m/>
    <n v="54"/>
  </r>
  <r>
    <x v="520"/>
    <d v="2025-03-17T00:00:00"/>
    <x v="0"/>
    <x v="1"/>
    <x v="1"/>
    <x v="1"/>
    <s v="Free"/>
    <n v="1"/>
    <n v="0"/>
    <n v="0"/>
    <n v="0"/>
    <n v="0"/>
    <n v="0"/>
    <n v="0"/>
    <m/>
    <n v="66.3"/>
  </r>
  <r>
    <x v="521"/>
    <d v="2025-01-27T00:00:00"/>
    <x v="0"/>
    <x v="2"/>
    <x v="2"/>
    <x v="2"/>
    <s v="Free"/>
    <n v="1"/>
    <n v="1"/>
    <n v="0"/>
    <n v="0"/>
    <n v="0"/>
    <n v="0"/>
    <n v="0"/>
    <m/>
    <n v="54.7"/>
  </r>
  <r>
    <x v="522"/>
    <d v="2025-04-13T00:00:00"/>
    <x v="0"/>
    <x v="3"/>
    <x v="1"/>
    <x v="1"/>
    <s v="Basic"/>
    <n v="1"/>
    <n v="0"/>
    <n v="0"/>
    <n v="0"/>
    <n v="0"/>
    <n v="0"/>
    <n v="0"/>
    <m/>
    <n v="76.7"/>
  </r>
  <r>
    <x v="523"/>
    <d v="2025-05-03T00:00:00"/>
    <x v="0"/>
    <x v="3"/>
    <x v="0"/>
    <x v="0"/>
    <s v="Basic"/>
    <n v="1"/>
    <n v="0"/>
    <n v="0"/>
    <n v="0"/>
    <n v="0"/>
    <n v="2"/>
    <n v="0"/>
    <m/>
    <n v="47.4"/>
  </r>
  <r>
    <x v="524"/>
    <d v="2025-03-30T00:00:00"/>
    <x v="0"/>
    <x v="0"/>
    <x v="1"/>
    <x v="1"/>
    <s v="Free"/>
    <n v="1"/>
    <n v="1"/>
    <n v="1"/>
    <n v="0"/>
    <n v="0"/>
    <n v="0"/>
    <n v="0"/>
    <m/>
    <n v="81.7"/>
  </r>
  <r>
    <x v="525"/>
    <d v="2025-01-01T00:00:00"/>
    <x v="0"/>
    <x v="1"/>
    <x v="1"/>
    <x v="2"/>
    <s v="Basic"/>
    <n v="1"/>
    <n v="1"/>
    <n v="1"/>
    <n v="0"/>
    <n v="0"/>
    <n v="0"/>
    <n v="0"/>
    <m/>
    <n v="67.5"/>
  </r>
  <r>
    <x v="526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x v="527"/>
    <d v="2025-02-25T00:00:00"/>
    <x v="0"/>
    <x v="0"/>
    <x v="0"/>
    <x v="1"/>
    <s v="Free"/>
    <n v="0"/>
    <n v="0"/>
    <n v="0"/>
    <n v="0"/>
    <n v="0"/>
    <n v="0"/>
    <n v="0"/>
    <m/>
    <n v="66.5"/>
  </r>
  <r>
    <x v="528"/>
    <d v="2025-05-14T00:00:00"/>
    <x v="0"/>
    <x v="2"/>
    <x v="2"/>
    <x v="4"/>
    <s v="Free"/>
    <n v="1"/>
    <n v="0"/>
    <n v="0"/>
    <n v="0"/>
    <n v="0"/>
    <n v="0"/>
    <n v="0"/>
    <m/>
    <n v="35.4"/>
  </r>
  <r>
    <x v="529"/>
    <d v="2025-05-20T00:00:00"/>
    <x v="0"/>
    <x v="3"/>
    <x v="1"/>
    <x v="1"/>
    <s v="Basic"/>
    <n v="0"/>
    <n v="0"/>
    <n v="0"/>
    <n v="0"/>
    <n v="0"/>
    <n v="0"/>
    <n v="0"/>
    <m/>
    <n v="64.3"/>
  </r>
  <r>
    <x v="530"/>
    <d v="2025-02-11T00:00:00"/>
    <x v="0"/>
    <x v="3"/>
    <x v="1"/>
    <x v="1"/>
    <s v="Free"/>
    <n v="0"/>
    <n v="0"/>
    <n v="0"/>
    <n v="0"/>
    <n v="0"/>
    <n v="0"/>
    <n v="0"/>
    <m/>
    <n v="49.1"/>
  </r>
  <r>
    <x v="531"/>
    <d v="2025-02-13T00:00:00"/>
    <x v="0"/>
    <x v="1"/>
    <x v="1"/>
    <x v="1"/>
    <s v="Free"/>
    <n v="1"/>
    <n v="0"/>
    <n v="0"/>
    <n v="0"/>
    <n v="0"/>
    <n v="0"/>
    <n v="0"/>
    <m/>
    <n v="84.3"/>
  </r>
  <r>
    <x v="532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x v="533"/>
    <d v="2025-03-08T00:00:00"/>
    <x v="0"/>
    <x v="2"/>
    <x v="1"/>
    <x v="0"/>
    <s v="Free"/>
    <n v="1"/>
    <n v="0"/>
    <n v="0"/>
    <n v="0"/>
    <n v="0"/>
    <n v="0"/>
    <n v="0"/>
    <m/>
    <n v="47.1"/>
  </r>
  <r>
    <x v="534"/>
    <d v="2025-02-16T00:00:00"/>
    <x v="0"/>
    <x v="0"/>
    <x v="0"/>
    <x v="2"/>
    <s v="Free"/>
    <n v="1"/>
    <n v="1"/>
    <n v="1"/>
    <n v="0"/>
    <n v="0"/>
    <n v="0"/>
    <n v="0"/>
    <m/>
    <n v="70"/>
  </r>
  <r>
    <x v="535"/>
    <d v="2025-04-28T00:00:00"/>
    <x v="0"/>
    <x v="3"/>
    <x v="1"/>
    <x v="2"/>
    <s v="Premium"/>
    <n v="1"/>
    <n v="0"/>
    <n v="0"/>
    <n v="0"/>
    <n v="0"/>
    <n v="0"/>
    <n v="0"/>
    <m/>
    <n v="54.6"/>
  </r>
  <r>
    <x v="536"/>
    <d v="2025-03-10T00:00:00"/>
    <x v="0"/>
    <x v="1"/>
    <x v="2"/>
    <x v="4"/>
    <s v="Basic"/>
    <n v="1"/>
    <n v="1"/>
    <n v="0"/>
    <n v="0"/>
    <n v="0"/>
    <n v="1"/>
    <n v="0"/>
    <m/>
    <n v="65.2"/>
  </r>
  <r>
    <x v="537"/>
    <d v="2025-01-25T00:00:00"/>
    <x v="0"/>
    <x v="2"/>
    <x v="1"/>
    <x v="4"/>
    <s v="Free"/>
    <n v="1"/>
    <n v="0"/>
    <n v="0"/>
    <n v="0"/>
    <n v="0"/>
    <n v="0"/>
    <n v="0"/>
    <m/>
    <n v="65"/>
  </r>
  <r>
    <x v="538"/>
    <d v="2025-01-11T00:00:00"/>
    <x v="0"/>
    <x v="1"/>
    <x v="1"/>
    <x v="2"/>
    <s v="Premium"/>
    <n v="1"/>
    <n v="1"/>
    <n v="1"/>
    <n v="0"/>
    <n v="0"/>
    <n v="1"/>
    <n v="0"/>
    <m/>
    <n v="42.1"/>
  </r>
  <r>
    <x v="539"/>
    <d v="2025-03-31T00:00:00"/>
    <x v="0"/>
    <x v="1"/>
    <x v="2"/>
    <x v="2"/>
    <s v="Free"/>
    <n v="1"/>
    <n v="0"/>
    <n v="0"/>
    <n v="0"/>
    <n v="0"/>
    <n v="0"/>
    <n v="0"/>
    <m/>
    <n v="43.4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  <r>
    <x v="541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x v="542"/>
    <d v="2025-04-25T00:00:00"/>
    <x v="0"/>
    <x v="2"/>
    <x v="0"/>
    <x v="2"/>
    <s v="Free"/>
    <n v="1"/>
    <n v="0"/>
    <n v="0"/>
    <n v="0"/>
    <n v="0"/>
    <n v="0"/>
    <n v="0"/>
    <m/>
    <n v="61.4"/>
  </r>
  <r>
    <x v="543"/>
    <d v="2025-04-17T00:00:00"/>
    <x v="0"/>
    <x v="2"/>
    <x v="1"/>
    <x v="4"/>
    <s v="Premium"/>
    <n v="1"/>
    <n v="1"/>
    <n v="1"/>
    <n v="0"/>
    <n v="0"/>
    <n v="0"/>
    <n v="0"/>
    <m/>
    <n v="76.8"/>
  </r>
  <r>
    <x v="544"/>
    <d v="2025-01-01T00:00:00"/>
    <x v="0"/>
    <x v="3"/>
    <x v="0"/>
    <x v="4"/>
    <s v="Basic"/>
    <n v="0"/>
    <n v="0"/>
    <n v="0"/>
    <n v="0"/>
    <n v="0"/>
    <n v="0"/>
    <n v="0"/>
    <m/>
    <m/>
  </r>
  <r>
    <x v="545"/>
    <d v="2025-03-18T00:00:00"/>
    <x v="0"/>
    <x v="2"/>
    <x v="1"/>
    <x v="2"/>
    <s v="Basic"/>
    <n v="1"/>
    <n v="1"/>
    <n v="1"/>
    <n v="0"/>
    <n v="0"/>
    <n v="0"/>
    <n v="0"/>
    <m/>
    <n v="45.3"/>
  </r>
  <r>
    <x v="546"/>
    <d v="2025-05-20T00:00:00"/>
    <x v="0"/>
    <x v="0"/>
    <x v="2"/>
    <x v="2"/>
    <s v="Free"/>
    <n v="1"/>
    <n v="0"/>
    <n v="0"/>
    <n v="0"/>
    <n v="0"/>
    <n v="0"/>
    <n v="0"/>
    <m/>
    <n v="41.4"/>
  </r>
  <r>
    <x v="547"/>
    <d v="2025-03-16T00:00:00"/>
    <x v="0"/>
    <x v="0"/>
    <x v="1"/>
    <x v="1"/>
    <s v="Basic"/>
    <n v="1"/>
    <n v="0"/>
    <n v="0"/>
    <n v="0"/>
    <n v="0"/>
    <n v="0"/>
    <n v="0"/>
    <m/>
    <n v="37.1"/>
  </r>
  <r>
    <x v="548"/>
    <d v="2025-05-30T00:00:00"/>
    <x v="0"/>
    <x v="2"/>
    <x v="0"/>
    <x v="4"/>
    <s v="Free"/>
    <n v="1"/>
    <n v="0"/>
    <n v="0"/>
    <n v="0"/>
    <n v="0"/>
    <n v="0"/>
    <n v="0"/>
    <m/>
    <n v="40.700000000000003"/>
  </r>
  <r>
    <x v="549"/>
    <d v="2025-02-20T00:00:00"/>
    <x v="0"/>
    <x v="0"/>
    <x v="1"/>
    <x v="4"/>
    <s v="Premium"/>
    <n v="0"/>
    <n v="0"/>
    <n v="0"/>
    <n v="0"/>
    <n v="0"/>
    <n v="2"/>
    <n v="0"/>
    <m/>
    <n v="55.9"/>
  </r>
  <r>
    <x v="550"/>
    <d v="2025-02-11T00:00:00"/>
    <x v="0"/>
    <x v="2"/>
    <x v="3"/>
    <x v="4"/>
    <s v="Free"/>
    <n v="1"/>
    <n v="1"/>
    <n v="0"/>
    <n v="0"/>
    <n v="0"/>
    <n v="0"/>
    <n v="0"/>
    <m/>
    <n v="55.8"/>
  </r>
  <r>
    <x v="551"/>
    <d v="2025-01-02T00:00:00"/>
    <x v="0"/>
    <x v="3"/>
    <x v="2"/>
    <x v="3"/>
    <s v="Basic"/>
    <n v="1"/>
    <n v="0"/>
    <n v="0"/>
    <n v="0"/>
    <n v="0"/>
    <n v="0"/>
    <n v="0"/>
    <m/>
    <n v="64.3"/>
  </r>
  <r>
    <x v="552"/>
    <d v="2025-05-03T00:00:00"/>
    <x v="0"/>
    <x v="0"/>
    <x v="1"/>
    <x v="1"/>
    <s v="Free"/>
    <n v="0"/>
    <n v="0"/>
    <n v="0"/>
    <n v="0"/>
    <n v="0"/>
    <n v="0"/>
    <n v="0"/>
    <m/>
    <n v="65.400000000000006"/>
  </r>
  <r>
    <x v="553"/>
    <d v="2025-02-24T00:00:00"/>
    <x v="0"/>
    <x v="1"/>
    <x v="1"/>
    <x v="1"/>
    <s v="Free"/>
    <n v="1"/>
    <n v="0"/>
    <n v="0"/>
    <n v="0"/>
    <n v="0"/>
    <n v="0"/>
    <n v="0"/>
    <m/>
    <n v="89.8"/>
  </r>
  <r>
    <x v="554"/>
    <d v="2025-02-11T00:00:00"/>
    <x v="0"/>
    <x v="3"/>
    <x v="3"/>
    <x v="1"/>
    <s v="Free"/>
    <n v="1"/>
    <n v="1"/>
    <n v="1"/>
    <n v="0"/>
    <n v="0"/>
    <n v="0"/>
    <n v="0"/>
    <m/>
    <n v="58.3"/>
  </r>
  <r>
    <x v="555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x v="556"/>
    <d v="2025-05-23T00:00:00"/>
    <x v="0"/>
    <x v="0"/>
    <x v="1"/>
    <x v="2"/>
    <s v="Premium"/>
    <n v="0"/>
    <n v="0"/>
    <n v="0"/>
    <n v="0"/>
    <n v="0"/>
    <n v="0"/>
    <n v="0"/>
    <m/>
    <n v="46.2"/>
  </r>
  <r>
    <x v="557"/>
    <d v="2025-01-09T00:00:00"/>
    <x v="0"/>
    <x v="0"/>
    <x v="0"/>
    <x v="2"/>
    <s v="Free"/>
    <n v="0"/>
    <n v="0"/>
    <n v="0"/>
    <n v="0"/>
    <n v="0"/>
    <n v="0"/>
    <n v="0"/>
    <m/>
    <n v="78"/>
  </r>
  <r>
    <x v="558"/>
    <d v="2025-04-01T00:00:00"/>
    <x v="0"/>
    <x v="0"/>
    <x v="0"/>
    <x v="1"/>
    <s v="Premium"/>
    <n v="1"/>
    <n v="0"/>
    <n v="0"/>
    <n v="0"/>
    <n v="0"/>
    <n v="0"/>
    <n v="0"/>
    <m/>
    <n v="62.3"/>
  </r>
  <r>
    <x v="559"/>
    <d v="2025-03-08T00:00:00"/>
    <x v="0"/>
    <x v="0"/>
    <x v="1"/>
    <x v="1"/>
    <s v="Free"/>
    <n v="1"/>
    <n v="0"/>
    <n v="0"/>
    <n v="0"/>
    <n v="0"/>
    <n v="0"/>
    <n v="0"/>
    <m/>
    <n v="78.8"/>
  </r>
  <r>
    <x v="560"/>
    <d v="2025-02-20T00:00:00"/>
    <x v="0"/>
    <x v="0"/>
    <x v="1"/>
    <x v="4"/>
    <s v="Basic"/>
    <n v="1"/>
    <n v="0"/>
    <n v="0"/>
    <n v="0"/>
    <n v="0"/>
    <n v="0"/>
    <n v="0"/>
    <m/>
    <n v="25"/>
  </r>
  <r>
    <x v="561"/>
    <d v="2025-03-30T00:00:00"/>
    <x v="0"/>
    <x v="2"/>
    <x v="1"/>
    <x v="4"/>
    <s v="Basic"/>
    <n v="0"/>
    <n v="0"/>
    <n v="0"/>
    <n v="0"/>
    <n v="0"/>
    <n v="0"/>
    <n v="0"/>
    <m/>
    <n v="53.4"/>
  </r>
  <r>
    <x v="562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x v="563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x v="564"/>
    <d v="2025-05-21T00:00:00"/>
    <x v="0"/>
    <x v="1"/>
    <x v="1"/>
    <x v="1"/>
    <s v="Basic"/>
    <n v="1"/>
    <n v="0"/>
    <n v="0"/>
    <n v="0"/>
    <n v="0"/>
    <n v="1"/>
    <n v="0"/>
    <m/>
    <n v="67.5"/>
  </r>
  <r>
    <x v="565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x v="566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x v="567"/>
    <d v="2025-02-16T00:00:00"/>
    <x v="0"/>
    <x v="1"/>
    <x v="1"/>
    <x v="2"/>
    <s v="Premium"/>
    <n v="1"/>
    <n v="0"/>
    <n v="0"/>
    <n v="0"/>
    <n v="0"/>
    <n v="0"/>
    <n v="0"/>
    <m/>
    <n v="48.7"/>
  </r>
  <r>
    <x v="568"/>
    <d v="2025-02-21T00:00:00"/>
    <x v="0"/>
    <x v="1"/>
    <x v="0"/>
    <x v="1"/>
    <s v="Basic"/>
    <n v="1"/>
    <n v="1"/>
    <n v="0"/>
    <n v="0"/>
    <n v="0"/>
    <n v="0"/>
    <n v="0"/>
    <m/>
    <n v="47.2"/>
  </r>
  <r>
    <x v="569"/>
    <d v="2025-01-07T00:00:00"/>
    <x v="0"/>
    <x v="0"/>
    <x v="1"/>
    <x v="3"/>
    <s v="Free"/>
    <n v="1"/>
    <n v="0"/>
    <n v="0"/>
    <n v="0"/>
    <n v="0"/>
    <n v="2"/>
    <n v="0"/>
    <m/>
    <n v="20.3"/>
  </r>
  <r>
    <x v="570"/>
    <d v="2025-03-06T00:00:00"/>
    <x v="0"/>
    <x v="1"/>
    <x v="1"/>
    <x v="2"/>
    <s v="Free"/>
    <n v="0"/>
    <n v="0"/>
    <n v="0"/>
    <n v="0"/>
    <n v="0"/>
    <n v="1"/>
    <n v="0"/>
    <m/>
    <n v="57.8"/>
  </r>
  <r>
    <x v="571"/>
    <d v="2025-03-30T00:00:00"/>
    <x v="0"/>
    <x v="2"/>
    <x v="1"/>
    <x v="0"/>
    <s v="Basic"/>
    <n v="1"/>
    <n v="0"/>
    <n v="0"/>
    <n v="0"/>
    <n v="0"/>
    <n v="0"/>
    <n v="0"/>
    <m/>
    <n v="78.7"/>
  </r>
  <r>
    <x v="572"/>
    <d v="2025-05-31T00:00:00"/>
    <x v="0"/>
    <x v="3"/>
    <x v="0"/>
    <x v="1"/>
    <s v="Free"/>
    <n v="1"/>
    <n v="0"/>
    <n v="0"/>
    <n v="0"/>
    <n v="0"/>
    <n v="0"/>
    <n v="0"/>
    <m/>
    <n v="63.6"/>
  </r>
  <r>
    <x v="573"/>
    <d v="2025-02-20T00:00:00"/>
    <x v="0"/>
    <x v="3"/>
    <x v="1"/>
    <x v="0"/>
    <s v="Free"/>
    <n v="0"/>
    <n v="0"/>
    <n v="0"/>
    <n v="0"/>
    <n v="0"/>
    <n v="2"/>
    <n v="0"/>
    <m/>
    <n v="45.1"/>
  </r>
  <r>
    <x v="574"/>
    <d v="2025-01-13T00:00:00"/>
    <x v="0"/>
    <x v="1"/>
    <x v="1"/>
    <x v="4"/>
    <s v="Free"/>
    <n v="0"/>
    <n v="0"/>
    <n v="0"/>
    <n v="0"/>
    <n v="0"/>
    <n v="0"/>
    <n v="0"/>
    <m/>
    <n v="77.5"/>
  </r>
  <r>
    <x v="575"/>
    <d v="2025-05-13T00:00:00"/>
    <x v="0"/>
    <x v="2"/>
    <x v="0"/>
    <x v="2"/>
    <s v="Basic"/>
    <n v="1"/>
    <n v="1"/>
    <n v="0"/>
    <n v="0"/>
    <n v="0"/>
    <n v="0"/>
    <n v="0"/>
    <m/>
    <n v="58"/>
  </r>
  <r>
    <x v="576"/>
    <d v="2025-04-21T00:00:00"/>
    <x v="0"/>
    <x v="3"/>
    <x v="2"/>
    <x v="1"/>
    <s v="Free"/>
    <n v="1"/>
    <n v="0"/>
    <n v="0"/>
    <n v="0"/>
    <n v="0"/>
    <n v="0"/>
    <n v="0"/>
    <m/>
    <n v="68.099999999999994"/>
  </r>
  <r>
    <x v="577"/>
    <d v="2025-03-01T00:00:00"/>
    <x v="0"/>
    <x v="2"/>
    <x v="2"/>
    <x v="1"/>
    <s v="Premium"/>
    <n v="1"/>
    <n v="0"/>
    <n v="0"/>
    <n v="0"/>
    <n v="0"/>
    <n v="0"/>
    <n v="0"/>
    <m/>
    <n v="35.4"/>
  </r>
  <r>
    <x v="578"/>
    <d v="2025-03-10T00:00:00"/>
    <x v="0"/>
    <x v="1"/>
    <x v="2"/>
    <x v="1"/>
    <s v="Free"/>
    <n v="0"/>
    <n v="0"/>
    <n v="0"/>
    <n v="0"/>
    <n v="0"/>
    <n v="0"/>
    <n v="0"/>
    <m/>
    <n v="47"/>
  </r>
  <r>
    <x v="579"/>
    <d v="2025-03-08T00:00:00"/>
    <x v="0"/>
    <x v="2"/>
    <x v="0"/>
    <x v="2"/>
    <s v="Free"/>
    <n v="0"/>
    <n v="0"/>
    <n v="0"/>
    <n v="0"/>
    <n v="0"/>
    <n v="0"/>
    <n v="0"/>
    <m/>
    <n v="75"/>
  </r>
  <r>
    <x v="580"/>
    <d v="2025-05-26T00:00:00"/>
    <x v="0"/>
    <x v="3"/>
    <x v="0"/>
    <x v="2"/>
    <s v="Free"/>
    <n v="1"/>
    <n v="1"/>
    <n v="1"/>
    <n v="0"/>
    <n v="0"/>
    <n v="3"/>
    <n v="0"/>
    <m/>
    <n v="50.2"/>
  </r>
  <r>
    <x v="581"/>
    <d v="2025-05-20T00:00:00"/>
    <x v="0"/>
    <x v="2"/>
    <x v="0"/>
    <x v="2"/>
    <s v="Free"/>
    <n v="1"/>
    <n v="0"/>
    <n v="0"/>
    <n v="0"/>
    <n v="0"/>
    <n v="0"/>
    <n v="0"/>
    <m/>
    <n v="40.1"/>
  </r>
  <r>
    <x v="582"/>
    <d v="2025-03-22T00:00:00"/>
    <x v="0"/>
    <x v="1"/>
    <x v="0"/>
    <x v="2"/>
    <s v="Free"/>
    <n v="0"/>
    <n v="0"/>
    <n v="0"/>
    <n v="0"/>
    <n v="0"/>
    <n v="0"/>
    <n v="0"/>
    <m/>
    <n v="61.1"/>
  </r>
  <r>
    <x v="583"/>
    <d v="2025-02-15T00:00:00"/>
    <x v="0"/>
    <x v="3"/>
    <x v="0"/>
    <x v="2"/>
    <s v="Free"/>
    <n v="0"/>
    <n v="0"/>
    <n v="0"/>
    <n v="0"/>
    <n v="0"/>
    <n v="0"/>
    <n v="0"/>
    <m/>
    <n v="42.4"/>
  </r>
  <r>
    <x v="584"/>
    <d v="2025-01-08T00:00:00"/>
    <x v="0"/>
    <x v="0"/>
    <x v="1"/>
    <x v="4"/>
    <s v="Free"/>
    <n v="0"/>
    <n v="0"/>
    <n v="0"/>
    <n v="0"/>
    <n v="0"/>
    <n v="1"/>
    <n v="0"/>
    <m/>
    <n v="46.6"/>
  </r>
  <r>
    <x v="585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x v="586"/>
    <d v="2025-05-07T00:00:00"/>
    <x v="0"/>
    <x v="2"/>
    <x v="2"/>
    <x v="1"/>
    <s v="Free"/>
    <n v="0"/>
    <n v="0"/>
    <n v="0"/>
    <n v="0"/>
    <n v="0"/>
    <n v="0"/>
    <n v="0"/>
    <m/>
    <n v="21.5"/>
  </r>
  <r>
    <x v="587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x v="588"/>
    <d v="2025-04-20T00:00:00"/>
    <x v="0"/>
    <x v="2"/>
    <x v="1"/>
    <x v="1"/>
    <s v="Free"/>
    <n v="1"/>
    <n v="1"/>
    <n v="0"/>
    <n v="0"/>
    <n v="0"/>
    <n v="0"/>
    <n v="0"/>
    <m/>
    <n v="53.3"/>
  </r>
  <r>
    <x v="589"/>
    <d v="2025-01-16T00:00:00"/>
    <x v="0"/>
    <x v="2"/>
    <x v="1"/>
    <x v="1"/>
    <s v="Premium"/>
    <n v="0"/>
    <n v="0"/>
    <n v="0"/>
    <n v="0"/>
    <n v="0"/>
    <n v="2"/>
    <n v="0"/>
    <m/>
    <n v="52.3"/>
  </r>
  <r>
    <x v="590"/>
    <d v="2025-04-04T00:00:00"/>
    <x v="0"/>
    <x v="2"/>
    <x v="1"/>
    <x v="2"/>
    <s v="Free"/>
    <n v="1"/>
    <n v="0"/>
    <n v="0"/>
    <n v="0"/>
    <n v="0"/>
    <n v="0"/>
    <n v="0"/>
    <m/>
    <n v="62.5"/>
  </r>
  <r>
    <x v="591"/>
    <d v="2025-01-29T00:00:00"/>
    <x v="0"/>
    <x v="0"/>
    <x v="2"/>
    <x v="4"/>
    <s v="Free"/>
    <n v="1"/>
    <n v="0"/>
    <n v="0"/>
    <n v="0"/>
    <n v="0"/>
    <n v="0"/>
    <n v="0"/>
    <m/>
    <n v="69.8"/>
  </r>
  <r>
    <x v="592"/>
    <d v="2025-04-19T00:00:00"/>
    <x v="0"/>
    <x v="2"/>
    <x v="1"/>
    <x v="0"/>
    <s v="Free"/>
    <n v="1"/>
    <n v="0"/>
    <n v="0"/>
    <n v="0"/>
    <n v="0"/>
    <n v="0"/>
    <n v="0"/>
    <m/>
    <n v="68.2"/>
  </r>
  <r>
    <x v="593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x v="594"/>
    <d v="2025-05-10T00:00:00"/>
    <x v="0"/>
    <x v="3"/>
    <x v="1"/>
    <x v="4"/>
    <s v="Basic"/>
    <n v="0"/>
    <n v="0"/>
    <n v="0"/>
    <n v="0"/>
    <n v="0"/>
    <n v="0"/>
    <n v="0"/>
    <m/>
    <n v="59.3"/>
  </r>
  <r>
    <x v="595"/>
    <d v="2025-02-02T00:00:00"/>
    <x v="0"/>
    <x v="0"/>
    <x v="1"/>
    <x v="4"/>
    <s v="Free"/>
    <n v="0"/>
    <n v="0"/>
    <n v="0"/>
    <n v="0"/>
    <n v="0"/>
    <n v="0"/>
    <n v="0"/>
    <m/>
    <n v="68.099999999999994"/>
  </r>
  <r>
    <x v="596"/>
    <d v="2025-05-06T00:00:00"/>
    <x v="0"/>
    <x v="0"/>
    <x v="0"/>
    <x v="1"/>
    <s v="Free"/>
    <n v="1"/>
    <n v="1"/>
    <n v="0"/>
    <n v="0"/>
    <n v="0"/>
    <n v="0"/>
    <n v="0"/>
    <m/>
    <n v="74.8"/>
  </r>
  <r>
    <x v="597"/>
    <d v="2025-01-19T00:00:00"/>
    <x v="0"/>
    <x v="1"/>
    <x v="0"/>
    <x v="1"/>
    <s v="Free"/>
    <n v="1"/>
    <n v="1"/>
    <n v="1"/>
    <n v="0"/>
    <n v="0"/>
    <n v="0"/>
    <n v="0"/>
    <m/>
    <n v="61.7"/>
  </r>
  <r>
    <x v="598"/>
    <d v="2025-01-02T00:00:00"/>
    <x v="0"/>
    <x v="0"/>
    <x v="1"/>
    <x v="1"/>
    <s v="Free"/>
    <n v="1"/>
    <n v="0"/>
    <n v="0"/>
    <n v="0"/>
    <n v="0"/>
    <n v="0"/>
    <n v="0"/>
    <m/>
    <n v="24.3"/>
  </r>
  <r>
    <x v="599"/>
    <d v="2025-05-03T00:00:00"/>
    <x v="0"/>
    <x v="3"/>
    <x v="0"/>
    <x v="2"/>
    <s v="Free"/>
    <n v="0"/>
    <n v="0"/>
    <n v="0"/>
    <n v="0"/>
    <n v="0"/>
    <n v="1"/>
    <n v="0"/>
    <m/>
    <n v="61.9"/>
  </r>
  <r>
    <x v="600"/>
    <d v="2025-05-27T00:00:00"/>
    <x v="0"/>
    <x v="2"/>
    <x v="0"/>
    <x v="3"/>
    <s v="Premium"/>
    <n v="0"/>
    <n v="0"/>
    <n v="0"/>
    <n v="0"/>
    <n v="0"/>
    <n v="2"/>
    <n v="0"/>
    <m/>
    <n v="41.7"/>
  </r>
  <r>
    <x v="601"/>
    <d v="2025-02-09T00:00:00"/>
    <x v="0"/>
    <x v="3"/>
    <x v="0"/>
    <x v="4"/>
    <s v="Free"/>
    <n v="1"/>
    <n v="0"/>
    <n v="0"/>
    <n v="0"/>
    <n v="0"/>
    <n v="0"/>
    <n v="0"/>
    <m/>
    <n v="87.6"/>
  </r>
  <r>
    <x v="602"/>
    <d v="2025-05-18T00:00:00"/>
    <x v="0"/>
    <x v="2"/>
    <x v="1"/>
    <x v="2"/>
    <s v="Free"/>
    <n v="1"/>
    <n v="0"/>
    <n v="0"/>
    <n v="0"/>
    <n v="0"/>
    <n v="0"/>
    <n v="0"/>
    <m/>
    <n v="30.8"/>
  </r>
  <r>
    <x v="603"/>
    <d v="2025-05-17T00:00:00"/>
    <x v="0"/>
    <x v="0"/>
    <x v="1"/>
    <x v="0"/>
    <s v="Free"/>
    <n v="0"/>
    <n v="0"/>
    <n v="0"/>
    <n v="0"/>
    <n v="0"/>
    <n v="0"/>
    <n v="0"/>
    <m/>
    <n v="54"/>
  </r>
  <r>
    <x v="604"/>
    <d v="2025-01-25T00:00:00"/>
    <x v="0"/>
    <x v="2"/>
    <x v="0"/>
    <x v="3"/>
    <s v="Basic"/>
    <n v="1"/>
    <n v="0"/>
    <n v="0"/>
    <n v="0"/>
    <n v="0"/>
    <n v="1"/>
    <n v="0"/>
    <m/>
    <n v="54.5"/>
  </r>
  <r>
    <x v="605"/>
    <d v="2025-05-04T00:00:00"/>
    <x v="0"/>
    <x v="1"/>
    <x v="1"/>
    <x v="2"/>
    <s v="Premium"/>
    <n v="1"/>
    <n v="1"/>
    <n v="0"/>
    <n v="0"/>
    <n v="0"/>
    <n v="0"/>
    <n v="0"/>
    <m/>
    <n v="61.3"/>
  </r>
  <r>
    <x v="606"/>
    <d v="2025-04-14T00:00:00"/>
    <x v="0"/>
    <x v="1"/>
    <x v="1"/>
    <x v="1"/>
    <s v="Free"/>
    <n v="1"/>
    <n v="0"/>
    <n v="0"/>
    <n v="0"/>
    <n v="0"/>
    <n v="0"/>
    <n v="0"/>
    <m/>
    <n v="62.7"/>
  </r>
  <r>
    <x v="607"/>
    <d v="2025-04-18T00:00:00"/>
    <x v="0"/>
    <x v="3"/>
    <x v="1"/>
    <x v="2"/>
    <s v="Free"/>
    <n v="1"/>
    <n v="1"/>
    <n v="0"/>
    <n v="0"/>
    <n v="0"/>
    <n v="0"/>
    <n v="0"/>
    <m/>
    <n v="43.1"/>
  </r>
  <r>
    <x v="608"/>
    <d v="2025-02-24T00:00:00"/>
    <x v="0"/>
    <x v="3"/>
    <x v="0"/>
    <x v="0"/>
    <s v="Basic"/>
    <n v="0"/>
    <n v="0"/>
    <n v="0"/>
    <n v="0"/>
    <n v="0"/>
    <n v="0"/>
    <n v="0"/>
    <m/>
    <n v="59.9"/>
  </r>
  <r>
    <x v="609"/>
    <d v="2025-04-19T00:00:00"/>
    <x v="0"/>
    <x v="0"/>
    <x v="2"/>
    <x v="2"/>
    <s v="Free"/>
    <n v="1"/>
    <n v="1"/>
    <n v="1"/>
    <n v="0"/>
    <n v="0"/>
    <n v="0"/>
    <n v="0"/>
    <m/>
    <n v="55.7"/>
  </r>
  <r>
    <x v="610"/>
    <d v="2025-03-07T00:00:00"/>
    <x v="0"/>
    <x v="3"/>
    <x v="0"/>
    <x v="1"/>
    <s v="Basic"/>
    <n v="1"/>
    <n v="0"/>
    <n v="0"/>
    <n v="0"/>
    <n v="0"/>
    <n v="0"/>
    <n v="0"/>
    <m/>
    <n v="37.1"/>
  </r>
  <r>
    <x v="611"/>
    <d v="2025-03-09T00:00:00"/>
    <x v="0"/>
    <x v="2"/>
    <x v="1"/>
    <x v="1"/>
    <s v="Basic"/>
    <n v="0"/>
    <n v="0"/>
    <n v="0"/>
    <n v="0"/>
    <n v="0"/>
    <n v="1"/>
    <n v="0"/>
    <m/>
    <n v="46.7"/>
  </r>
  <r>
    <x v="612"/>
    <d v="2025-05-01T00:00:00"/>
    <x v="0"/>
    <x v="3"/>
    <x v="0"/>
    <x v="1"/>
    <s v="Basic"/>
    <n v="1"/>
    <n v="0"/>
    <n v="0"/>
    <n v="0"/>
    <n v="0"/>
    <n v="0"/>
    <n v="0"/>
    <m/>
    <n v="54.1"/>
  </r>
  <r>
    <x v="613"/>
    <d v="2025-02-09T00:00:00"/>
    <x v="0"/>
    <x v="1"/>
    <x v="0"/>
    <x v="1"/>
    <s v="Premium"/>
    <n v="1"/>
    <n v="1"/>
    <n v="1"/>
    <n v="0"/>
    <n v="0"/>
    <n v="0"/>
    <n v="0"/>
    <m/>
    <n v="56.1"/>
  </r>
  <r>
    <x v="614"/>
    <d v="2025-05-22T00:00:00"/>
    <x v="0"/>
    <x v="1"/>
    <x v="1"/>
    <x v="3"/>
    <s v="Premium"/>
    <n v="0"/>
    <n v="0"/>
    <n v="0"/>
    <n v="0"/>
    <n v="0"/>
    <n v="0"/>
    <n v="0"/>
    <m/>
    <n v="23.6"/>
  </r>
  <r>
    <x v="615"/>
    <d v="2025-02-11T00:00:00"/>
    <x v="0"/>
    <x v="0"/>
    <x v="1"/>
    <x v="1"/>
    <s v="Premium"/>
    <n v="0"/>
    <n v="0"/>
    <n v="0"/>
    <n v="0"/>
    <n v="0"/>
    <n v="0"/>
    <n v="0"/>
    <m/>
    <n v="54.7"/>
  </r>
  <r>
    <x v="616"/>
    <d v="2025-04-12T00:00:00"/>
    <x v="0"/>
    <x v="0"/>
    <x v="1"/>
    <x v="3"/>
    <s v="Basic"/>
    <n v="0"/>
    <n v="0"/>
    <n v="0"/>
    <n v="0"/>
    <n v="0"/>
    <n v="2"/>
    <n v="0"/>
    <m/>
    <n v="50.4"/>
  </r>
  <r>
    <x v="617"/>
    <d v="2025-03-01T00:00:00"/>
    <x v="0"/>
    <x v="1"/>
    <x v="1"/>
    <x v="4"/>
    <s v="Free"/>
    <n v="1"/>
    <n v="0"/>
    <n v="0"/>
    <n v="0"/>
    <n v="0"/>
    <n v="0"/>
    <n v="0"/>
    <m/>
    <n v="54.5"/>
  </r>
  <r>
    <x v="618"/>
    <d v="2025-03-17T00:00:00"/>
    <x v="0"/>
    <x v="1"/>
    <x v="0"/>
    <x v="0"/>
    <s v="Basic"/>
    <n v="0"/>
    <n v="0"/>
    <n v="0"/>
    <n v="0"/>
    <n v="0"/>
    <n v="0"/>
    <n v="0"/>
    <m/>
    <n v="58"/>
  </r>
  <r>
    <x v="619"/>
    <d v="2025-01-11T00:00:00"/>
    <x v="0"/>
    <x v="0"/>
    <x v="1"/>
    <x v="2"/>
    <s v="Free"/>
    <n v="0"/>
    <n v="0"/>
    <n v="0"/>
    <n v="0"/>
    <n v="0"/>
    <n v="0"/>
    <n v="0"/>
    <m/>
    <n v="42.9"/>
  </r>
  <r>
    <x v="620"/>
    <d v="2025-02-17T00:00:00"/>
    <x v="0"/>
    <x v="3"/>
    <x v="1"/>
    <x v="4"/>
    <s v="Premium"/>
    <n v="1"/>
    <n v="0"/>
    <n v="0"/>
    <n v="0"/>
    <n v="0"/>
    <n v="0"/>
    <n v="0"/>
    <m/>
    <n v="51.1"/>
  </r>
  <r>
    <x v="621"/>
    <d v="2025-03-25T00:00:00"/>
    <x v="0"/>
    <x v="2"/>
    <x v="1"/>
    <x v="2"/>
    <s v="Basic"/>
    <n v="1"/>
    <n v="1"/>
    <n v="0"/>
    <n v="0"/>
    <n v="0"/>
    <n v="0"/>
    <n v="0"/>
    <m/>
    <n v="51.8"/>
  </r>
  <r>
    <x v="622"/>
    <d v="2025-05-01T00:00:00"/>
    <x v="0"/>
    <x v="3"/>
    <x v="1"/>
    <x v="2"/>
    <s v="Free"/>
    <n v="0"/>
    <n v="0"/>
    <n v="0"/>
    <n v="0"/>
    <n v="0"/>
    <n v="0"/>
    <n v="0"/>
    <m/>
    <n v="67.7"/>
  </r>
  <r>
    <x v="623"/>
    <d v="2025-04-02T00:00:00"/>
    <x v="0"/>
    <x v="2"/>
    <x v="1"/>
    <x v="1"/>
    <s v="Basic"/>
    <n v="0"/>
    <n v="0"/>
    <n v="0"/>
    <n v="0"/>
    <n v="0"/>
    <n v="0"/>
    <n v="0"/>
    <m/>
    <n v="75.8"/>
  </r>
  <r>
    <x v="624"/>
    <d v="2025-04-05T00:00:00"/>
    <x v="0"/>
    <x v="2"/>
    <x v="1"/>
    <x v="0"/>
    <s v="Free"/>
    <n v="1"/>
    <n v="1"/>
    <n v="0"/>
    <n v="0"/>
    <n v="0"/>
    <n v="0"/>
    <n v="0"/>
    <m/>
    <n v="72.8"/>
  </r>
  <r>
    <x v="625"/>
    <d v="2025-02-24T00:00:00"/>
    <x v="0"/>
    <x v="0"/>
    <x v="0"/>
    <x v="4"/>
    <s v="Free"/>
    <n v="1"/>
    <n v="1"/>
    <n v="0"/>
    <n v="0"/>
    <n v="0"/>
    <n v="0"/>
    <n v="0"/>
    <m/>
    <n v="54.4"/>
  </r>
  <r>
    <x v="626"/>
    <d v="2025-01-24T00:00:00"/>
    <x v="0"/>
    <x v="1"/>
    <x v="1"/>
    <x v="2"/>
    <s v="Basic"/>
    <n v="1"/>
    <n v="0"/>
    <n v="0"/>
    <n v="0"/>
    <n v="0"/>
    <n v="0"/>
    <n v="0"/>
    <m/>
    <n v="51.8"/>
  </r>
  <r>
    <x v="627"/>
    <d v="2025-04-10T00:00:00"/>
    <x v="0"/>
    <x v="3"/>
    <x v="1"/>
    <x v="2"/>
    <s v="Free"/>
    <n v="0"/>
    <n v="0"/>
    <n v="0"/>
    <n v="0"/>
    <n v="0"/>
    <n v="0"/>
    <n v="0"/>
    <m/>
    <n v="40.299999999999997"/>
  </r>
  <r>
    <x v="628"/>
    <d v="2025-02-19T00:00:00"/>
    <x v="0"/>
    <x v="3"/>
    <x v="1"/>
    <x v="3"/>
    <s v="Free"/>
    <n v="1"/>
    <n v="1"/>
    <n v="1"/>
    <n v="0"/>
    <n v="0"/>
    <n v="0"/>
    <n v="0"/>
    <m/>
    <n v="61.7"/>
  </r>
  <r>
    <x v="629"/>
    <d v="2025-03-22T00:00:00"/>
    <x v="0"/>
    <x v="0"/>
    <x v="1"/>
    <x v="4"/>
    <s v="Free"/>
    <n v="0"/>
    <n v="0"/>
    <n v="0"/>
    <n v="0"/>
    <n v="0"/>
    <n v="0"/>
    <n v="0"/>
    <m/>
    <n v="45"/>
  </r>
  <r>
    <x v="630"/>
    <d v="2025-04-08T00:00:00"/>
    <x v="0"/>
    <x v="2"/>
    <x v="0"/>
    <x v="1"/>
    <s v="Premium"/>
    <n v="1"/>
    <n v="1"/>
    <n v="1"/>
    <n v="0"/>
    <n v="0"/>
    <n v="0"/>
    <n v="0"/>
    <m/>
    <n v="60"/>
  </r>
  <r>
    <x v="631"/>
    <d v="2025-03-16T00:00:00"/>
    <x v="0"/>
    <x v="0"/>
    <x v="1"/>
    <x v="4"/>
    <s v="Free"/>
    <n v="1"/>
    <n v="0"/>
    <n v="0"/>
    <n v="0"/>
    <n v="0"/>
    <n v="0"/>
    <n v="0"/>
    <m/>
    <m/>
  </r>
  <r>
    <x v="632"/>
    <d v="2025-03-07T00:00:00"/>
    <x v="0"/>
    <x v="2"/>
    <x v="1"/>
    <x v="2"/>
    <s v="Free"/>
    <n v="1"/>
    <n v="0"/>
    <n v="0"/>
    <n v="0"/>
    <n v="0"/>
    <n v="0"/>
    <n v="0"/>
    <m/>
    <n v="55.5"/>
  </r>
  <r>
    <x v="633"/>
    <d v="2025-03-16T00:00:00"/>
    <x v="0"/>
    <x v="3"/>
    <x v="1"/>
    <x v="3"/>
    <s v="Basic"/>
    <n v="0"/>
    <n v="0"/>
    <n v="0"/>
    <n v="0"/>
    <n v="0"/>
    <n v="0"/>
    <n v="0"/>
    <m/>
    <n v="51.8"/>
  </r>
  <r>
    <x v="634"/>
    <d v="2025-05-26T00:00:00"/>
    <x v="0"/>
    <x v="2"/>
    <x v="1"/>
    <x v="5"/>
    <s v="Premium"/>
    <n v="1"/>
    <n v="0"/>
    <n v="0"/>
    <n v="0"/>
    <n v="0"/>
    <n v="3"/>
    <n v="0"/>
    <m/>
    <n v="56"/>
  </r>
  <r>
    <x v="635"/>
    <d v="2025-01-14T00:00:00"/>
    <x v="0"/>
    <x v="1"/>
    <x v="1"/>
    <x v="1"/>
    <s v="Free"/>
    <n v="0"/>
    <n v="0"/>
    <n v="0"/>
    <n v="0"/>
    <n v="0"/>
    <n v="0"/>
    <n v="0"/>
    <m/>
    <n v="52.5"/>
  </r>
  <r>
    <x v="636"/>
    <d v="2025-03-30T00:00:00"/>
    <x v="0"/>
    <x v="1"/>
    <x v="1"/>
    <x v="2"/>
    <s v="Premium"/>
    <n v="1"/>
    <n v="0"/>
    <n v="0"/>
    <n v="0"/>
    <n v="0"/>
    <n v="0"/>
    <n v="0"/>
    <m/>
    <n v="42.5"/>
  </r>
  <r>
    <x v="637"/>
    <d v="2025-05-12T00:00:00"/>
    <x v="0"/>
    <x v="2"/>
    <x v="0"/>
    <x v="0"/>
    <s v="Free"/>
    <n v="1"/>
    <n v="1"/>
    <n v="1"/>
    <n v="0"/>
    <n v="0"/>
    <n v="0"/>
    <n v="0"/>
    <m/>
    <n v="65.3"/>
  </r>
  <r>
    <x v="638"/>
    <d v="2025-05-10T00:00:00"/>
    <x v="0"/>
    <x v="1"/>
    <x v="1"/>
    <x v="2"/>
    <s v="Free"/>
    <n v="0"/>
    <n v="0"/>
    <n v="0"/>
    <n v="0"/>
    <n v="0"/>
    <n v="0"/>
    <n v="0"/>
    <m/>
    <n v="37.6"/>
  </r>
  <r>
    <x v="639"/>
    <d v="2025-04-09T00:00:00"/>
    <x v="0"/>
    <x v="2"/>
    <x v="1"/>
    <x v="4"/>
    <s v="Basic"/>
    <n v="0"/>
    <n v="0"/>
    <n v="0"/>
    <n v="0"/>
    <n v="0"/>
    <n v="0"/>
    <n v="0"/>
    <m/>
    <n v="57.8"/>
  </r>
  <r>
    <x v="640"/>
    <d v="2025-05-26T00:00:00"/>
    <x v="0"/>
    <x v="0"/>
    <x v="1"/>
    <x v="4"/>
    <s v="Free"/>
    <n v="1"/>
    <n v="0"/>
    <n v="0"/>
    <n v="0"/>
    <n v="0"/>
    <n v="0"/>
    <n v="0"/>
    <m/>
    <n v="52.7"/>
  </r>
  <r>
    <x v="641"/>
    <d v="2025-02-12T00:00:00"/>
    <x v="0"/>
    <x v="0"/>
    <x v="1"/>
    <x v="1"/>
    <s v="Free"/>
    <n v="1"/>
    <n v="0"/>
    <n v="0"/>
    <n v="0"/>
    <n v="0"/>
    <n v="0"/>
    <n v="0"/>
    <m/>
    <n v="51.7"/>
  </r>
  <r>
    <x v="642"/>
    <d v="2025-04-01T00:00:00"/>
    <x v="0"/>
    <x v="0"/>
    <x v="0"/>
    <x v="0"/>
    <s v="Basic"/>
    <n v="0"/>
    <n v="0"/>
    <n v="0"/>
    <n v="0"/>
    <n v="0"/>
    <n v="0"/>
    <n v="0"/>
    <m/>
    <n v="57"/>
  </r>
  <r>
    <x v="643"/>
    <d v="2025-01-18T00:00:00"/>
    <x v="0"/>
    <x v="3"/>
    <x v="0"/>
    <x v="1"/>
    <s v="Basic"/>
    <n v="0"/>
    <n v="0"/>
    <n v="0"/>
    <n v="0"/>
    <n v="0"/>
    <n v="0"/>
    <n v="0"/>
    <m/>
    <n v="39.5"/>
  </r>
  <r>
    <x v="644"/>
    <d v="2025-04-06T00:00:00"/>
    <x v="0"/>
    <x v="2"/>
    <x v="2"/>
    <x v="1"/>
    <s v="Free"/>
    <n v="1"/>
    <n v="0"/>
    <n v="0"/>
    <n v="0"/>
    <n v="0"/>
    <n v="0"/>
    <n v="0"/>
    <m/>
    <n v="76.5"/>
  </r>
  <r>
    <x v="645"/>
    <d v="2025-04-17T00:00:00"/>
    <x v="0"/>
    <x v="2"/>
    <x v="1"/>
    <x v="1"/>
    <s v="Free"/>
    <n v="1"/>
    <n v="0"/>
    <n v="0"/>
    <n v="0"/>
    <n v="0"/>
    <n v="0"/>
    <n v="0"/>
    <m/>
    <n v="32.4"/>
  </r>
  <r>
    <x v="646"/>
    <d v="2025-02-07T00:00:00"/>
    <x v="0"/>
    <x v="0"/>
    <x v="0"/>
    <x v="2"/>
    <s v="Free"/>
    <n v="0"/>
    <n v="0"/>
    <n v="0"/>
    <n v="0"/>
    <n v="0"/>
    <n v="0"/>
    <n v="0"/>
    <m/>
    <n v="58.6"/>
  </r>
  <r>
    <x v="647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x v="648"/>
    <d v="2025-02-17T00:00:00"/>
    <x v="0"/>
    <x v="0"/>
    <x v="0"/>
    <x v="1"/>
    <s v="Premium"/>
    <n v="0"/>
    <n v="0"/>
    <n v="0"/>
    <n v="0"/>
    <n v="0"/>
    <n v="0"/>
    <n v="0"/>
    <m/>
    <n v="54.5"/>
  </r>
  <r>
    <x v="649"/>
    <d v="2025-05-06T00:00:00"/>
    <x v="0"/>
    <x v="3"/>
    <x v="1"/>
    <x v="3"/>
    <s v="Free"/>
    <n v="1"/>
    <n v="0"/>
    <n v="0"/>
    <n v="0"/>
    <n v="0"/>
    <n v="0"/>
    <n v="0"/>
    <m/>
    <n v="57.6"/>
  </r>
  <r>
    <x v="650"/>
    <d v="2025-03-25T00:00:00"/>
    <x v="0"/>
    <x v="3"/>
    <x v="1"/>
    <x v="3"/>
    <s v="Premium"/>
    <n v="0"/>
    <n v="0"/>
    <n v="0"/>
    <n v="0"/>
    <n v="0"/>
    <n v="0"/>
    <n v="0"/>
    <m/>
    <n v="52.8"/>
  </r>
  <r>
    <x v="651"/>
    <d v="2025-03-04T00:00:00"/>
    <x v="0"/>
    <x v="1"/>
    <x v="1"/>
    <x v="0"/>
    <s v="Premium"/>
    <n v="1"/>
    <n v="0"/>
    <n v="0"/>
    <n v="0"/>
    <n v="0"/>
    <n v="0"/>
    <n v="0"/>
    <m/>
    <n v="52.9"/>
  </r>
  <r>
    <x v="652"/>
    <d v="2025-05-09T00:00:00"/>
    <x v="0"/>
    <x v="1"/>
    <x v="1"/>
    <x v="1"/>
    <s v="Free"/>
    <n v="1"/>
    <n v="0"/>
    <n v="0"/>
    <n v="0"/>
    <n v="0"/>
    <n v="1"/>
    <n v="0"/>
    <m/>
    <n v="55.9"/>
  </r>
  <r>
    <x v="653"/>
    <d v="2025-05-17T00:00:00"/>
    <x v="0"/>
    <x v="1"/>
    <x v="1"/>
    <x v="3"/>
    <s v="Premium"/>
    <n v="1"/>
    <n v="0"/>
    <n v="0"/>
    <n v="0"/>
    <n v="0"/>
    <n v="0"/>
    <n v="0"/>
    <m/>
    <n v="74.2"/>
  </r>
  <r>
    <x v="654"/>
    <d v="2025-01-12T00:00:00"/>
    <x v="0"/>
    <x v="1"/>
    <x v="1"/>
    <x v="1"/>
    <s v="Free"/>
    <n v="0"/>
    <n v="0"/>
    <n v="0"/>
    <n v="0"/>
    <n v="0"/>
    <n v="0"/>
    <n v="0"/>
    <m/>
    <n v="46.3"/>
  </r>
  <r>
    <x v="655"/>
    <d v="2025-03-12T00:00:00"/>
    <x v="0"/>
    <x v="1"/>
    <x v="1"/>
    <x v="1"/>
    <s v="Premium"/>
    <n v="1"/>
    <n v="0"/>
    <n v="0"/>
    <n v="0"/>
    <n v="0"/>
    <n v="0"/>
    <n v="0"/>
    <m/>
    <n v="62"/>
  </r>
  <r>
    <x v="656"/>
    <d v="2025-04-02T00:00:00"/>
    <x v="0"/>
    <x v="3"/>
    <x v="1"/>
    <x v="1"/>
    <s v="Basic"/>
    <n v="0"/>
    <n v="0"/>
    <n v="0"/>
    <n v="0"/>
    <n v="0"/>
    <n v="0"/>
    <n v="0"/>
    <m/>
    <n v="55.6"/>
  </r>
  <r>
    <x v="657"/>
    <d v="2025-01-13T00:00:00"/>
    <x v="0"/>
    <x v="3"/>
    <x v="1"/>
    <x v="1"/>
    <s v="Basic"/>
    <n v="1"/>
    <n v="0"/>
    <n v="0"/>
    <n v="0"/>
    <n v="0"/>
    <n v="0"/>
    <n v="0"/>
    <m/>
    <n v="62.8"/>
  </r>
  <r>
    <x v="658"/>
    <d v="2025-03-07T00:00:00"/>
    <x v="0"/>
    <x v="2"/>
    <x v="1"/>
    <x v="3"/>
    <s v="Free"/>
    <n v="0"/>
    <n v="0"/>
    <n v="0"/>
    <n v="0"/>
    <n v="0"/>
    <n v="0"/>
    <n v="0"/>
    <m/>
    <n v="73.099999999999994"/>
  </r>
  <r>
    <x v="659"/>
    <d v="2025-04-20T00:00:00"/>
    <x v="0"/>
    <x v="3"/>
    <x v="0"/>
    <x v="4"/>
    <s v="Free"/>
    <n v="1"/>
    <n v="1"/>
    <n v="1"/>
    <n v="1"/>
    <n v="347.52"/>
    <n v="0"/>
    <n v="0"/>
    <n v="2"/>
    <n v="57.2"/>
  </r>
  <r>
    <x v="660"/>
    <d v="2025-01-07T00:00:00"/>
    <x v="0"/>
    <x v="3"/>
    <x v="1"/>
    <x v="2"/>
    <s v="Free"/>
    <n v="1"/>
    <n v="0"/>
    <n v="0"/>
    <n v="0"/>
    <n v="0"/>
    <n v="0"/>
    <n v="0"/>
    <m/>
    <n v="67.900000000000006"/>
  </r>
  <r>
    <x v="661"/>
    <d v="2025-04-23T00:00:00"/>
    <x v="0"/>
    <x v="3"/>
    <x v="1"/>
    <x v="3"/>
    <s v="Free"/>
    <n v="0"/>
    <n v="0"/>
    <n v="0"/>
    <n v="0"/>
    <n v="0"/>
    <n v="0"/>
    <n v="0"/>
    <m/>
    <n v="50.1"/>
  </r>
  <r>
    <x v="662"/>
    <d v="2025-05-26T00:00:00"/>
    <x v="0"/>
    <x v="0"/>
    <x v="1"/>
    <x v="2"/>
    <s v="Basic"/>
    <n v="0"/>
    <n v="0"/>
    <n v="0"/>
    <n v="0"/>
    <n v="0"/>
    <n v="0"/>
    <n v="0"/>
    <m/>
    <n v="67.8"/>
  </r>
  <r>
    <x v="663"/>
    <d v="2025-03-17T00:00:00"/>
    <x v="0"/>
    <x v="0"/>
    <x v="0"/>
    <x v="4"/>
    <s v="Basic"/>
    <n v="1"/>
    <n v="1"/>
    <n v="1"/>
    <n v="0"/>
    <n v="0"/>
    <n v="0"/>
    <n v="0"/>
    <m/>
    <n v="60.8"/>
  </r>
  <r>
    <x v="664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x v="665"/>
    <d v="2025-02-21T00:00:00"/>
    <x v="0"/>
    <x v="0"/>
    <x v="1"/>
    <x v="2"/>
    <s v="Basic"/>
    <n v="0"/>
    <n v="0"/>
    <n v="0"/>
    <n v="0"/>
    <n v="0"/>
    <n v="0"/>
    <n v="0"/>
    <m/>
    <n v="45.2"/>
  </r>
  <r>
    <x v="666"/>
    <d v="2025-02-25T00:00:00"/>
    <x v="0"/>
    <x v="2"/>
    <x v="0"/>
    <x v="2"/>
    <s v="Premium"/>
    <n v="0"/>
    <n v="0"/>
    <n v="0"/>
    <n v="0"/>
    <n v="0"/>
    <n v="0"/>
    <n v="0"/>
    <m/>
    <n v="48.2"/>
  </r>
  <r>
    <x v="667"/>
    <d v="2025-01-30T00:00:00"/>
    <x v="0"/>
    <x v="3"/>
    <x v="1"/>
    <x v="4"/>
    <s v="Free"/>
    <n v="1"/>
    <n v="1"/>
    <n v="0"/>
    <n v="0"/>
    <n v="0"/>
    <n v="1"/>
    <n v="0"/>
    <m/>
    <n v="44.8"/>
  </r>
  <r>
    <x v="668"/>
    <d v="2025-02-17T00:00:00"/>
    <x v="0"/>
    <x v="0"/>
    <x v="2"/>
    <x v="4"/>
    <s v="Basic"/>
    <n v="0"/>
    <n v="0"/>
    <n v="0"/>
    <n v="0"/>
    <n v="0"/>
    <n v="0"/>
    <n v="0"/>
    <m/>
    <n v="52.1"/>
  </r>
  <r>
    <x v="669"/>
    <d v="2025-05-17T00:00:00"/>
    <x v="0"/>
    <x v="0"/>
    <x v="0"/>
    <x v="2"/>
    <s v="Basic"/>
    <n v="1"/>
    <n v="0"/>
    <n v="0"/>
    <n v="0"/>
    <n v="0"/>
    <n v="0"/>
    <n v="0"/>
    <m/>
    <n v="30.7"/>
  </r>
  <r>
    <x v="670"/>
    <d v="2025-04-30T00:00:00"/>
    <x v="0"/>
    <x v="2"/>
    <x v="0"/>
    <x v="2"/>
    <s v="Free"/>
    <n v="1"/>
    <n v="0"/>
    <n v="0"/>
    <n v="0"/>
    <n v="0"/>
    <n v="0"/>
    <n v="0"/>
    <m/>
    <n v="58.4"/>
  </r>
  <r>
    <x v="671"/>
    <d v="2025-03-22T00:00:00"/>
    <x v="0"/>
    <x v="1"/>
    <x v="1"/>
    <x v="3"/>
    <s v="Free"/>
    <n v="1"/>
    <n v="1"/>
    <n v="0"/>
    <n v="0"/>
    <n v="0"/>
    <n v="0"/>
    <n v="0"/>
    <m/>
    <n v="52.6"/>
  </r>
  <r>
    <x v="672"/>
    <d v="2025-01-10T00:00:00"/>
    <x v="0"/>
    <x v="1"/>
    <x v="3"/>
    <x v="2"/>
    <s v="Free"/>
    <n v="1"/>
    <n v="0"/>
    <n v="0"/>
    <n v="0"/>
    <n v="0"/>
    <n v="1"/>
    <n v="0"/>
    <m/>
    <n v="19.100000000000001"/>
  </r>
  <r>
    <x v="673"/>
    <d v="2025-03-21T00:00:00"/>
    <x v="0"/>
    <x v="3"/>
    <x v="3"/>
    <x v="2"/>
    <s v="Free"/>
    <n v="1"/>
    <n v="0"/>
    <n v="0"/>
    <n v="0"/>
    <n v="0"/>
    <n v="0"/>
    <n v="0"/>
    <m/>
    <n v="36.799999999999997"/>
  </r>
  <r>
    <x v="674"/>
    <d v="2025-05-12T00:00:00"/>
    <x v="0"/>
    <x v="0"/>
    <x v="0"/>
    <x v="2"/>
    <s v="Basic"/>
    <n v="0"/>
    <n v="0"/>
    <n v="0"/>
    <n v="0"/>
    <n v="0"/>
    <n v="0"/>
    <n v="0"/>
    <m/>
    <n v="68.5"/>
  </r>
  <r>
    <x v="675"/>
    <d v="2025-05-24T00:00:00"/>
    <x v="0"/>
    <x v="1"/>
    <x v="1"/>
    <x v="2"/>
    <s v="Free"/>
    <n v="1"/>
    <n v="1"/>
    <n v="1"/>
    <n v="0"/>
    <n v="0"/>
    <n v="0"/>
    <n v="0"/>
    <m/>
    <n v="40.1"/>
  </r>
  <r>
    <x v="676"/>
    <d v="2025-05-03T00:00:00"/>
    <x v="0"/>
    <x v="1"/>
    <x v="2"/>
    <x v="1"/>
    <s v="Free"/>
    <n v="1"/>
    <n v="0"/>
    <n v="0"/>
    <n v="0"/>
    <n v="0"/>
    <n v="0"/>
    <n v="0"/>
    <m/>
    <n v="47.5"/>
  </r>
  <r>
    <x v="677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x v="678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x v="679"/>
    <d v="2025-02-28T00:00:00"/>
    <x v="0"/>
    <x v="0"/>
    <x v="0"/>
    <x v="3"/>
    <s v="Premium"/>
    <n v="0"/>
    <n v="0"/>
    <n v="0"/>
    <n v="0"/>
    <n v="0"/>
    <n v="1"/>
    <n v="0"/>
    <m/>
    <n v="52"/>
  </r>
  <r>
    <x v="680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x v="681"/>
    <d v="2025-03-14T00:00:00"/>
    <x v="0"/>
    <x v="0"/>
    <x v="1"/>
    <x v="1"/>
    <s v="Free"/>
    <n v="1"/>
    <n v="0"/>
    <n v="0"/>
    <n v="0"/>
    <n v="0"/>
    <n v="0"/>
    <n v="0"/>
    <m/>
    <n v="48.2"/>
  </r>
  <r>
    <x v="682"/>
    <d v="2025-05-20T00:00:00"/>
    <x v="0"/>
    <x v="2"/>
    <x v="1"/>
    <x v="1"/>
    <s v="Basic"/>
    <n v="0"/>
    <n v="0"/>
    <n v="0"/>
    <n v="0"/>
    <n v="0"/>
    <n v="0"/>
    <n v="0"/>
    <m/>
    <n v="42.1"/>
  </r>
  <r>
    <x v="683"/>
    <d v="2025-02-24T00:00:00"/>
    <x v="0"/>
    <x v="3"/>
    <x v="0"/>
    <x v="3"/>
    <s v="Free"/>
    <n v="0"/>
    <n v="0"/>
    <n v="0"/>
    <n v="0"/>
    <n v="0"/>
    <n v="0"/>
    <n v="0"/>
    <m/>
    <n v="27.6"/>
  </r>
  <r>
    <x v="684"/>
    <d v="2025-02-13T00:00:00"/>
    <x v="0"/>
    <x v="1"/>
    <x v="1"/>
    <x v="1"/>
    <s v="Premium"/>
    <n v="1"/>
    <n v="0"/>
    <n v="0"/>
    <n v="0"/>
    <n v="0"/>
    <n v="1"/>
    <n v="0"/>
    <m/>
    <n v="68.5"/>
  </r>
  <r>
    <x v="685"/>
    <d v="2025-02-06T00:00:00"/>
    <x v="0"/>
    <x v="3"/>
    <x v="0"/>
    <x v="1"/>
    <s v="Free"/>
    <n v="1"/>
    <n v="1"/>
    <n v="1"/>
    <n v="0"/>
    <n v="0"/>
    <n v="0"/>
    <n v="0"/>
    <m/>
    <n v="59.2"/>
  </r>
  <r>
    <x v="686"/>
    <d v="2025-03-02T00:00:00"/>
    <x v="0"/>
    <x v="0"/>
    <x v="1"/>
    <x v="4"/>
    <s v="Basic"/>
    <n v="1"/>
    <n v="0"/>
    <n v="0"/>
    <n v="0"/>
    <n v="0"/>
    <n v="0"/>
    <n v="0"/>
    <m/>
    <n v="63.3"/>
  </r>
  <r>
    <x v="687"/>
    <d v="2025-04-28T00:00:00"/>
    <x v="0"/>
    <x v="2"/>
    <x v="0"/>
    <x v="2"/>
    <s v="Free"/>
    <n v="0"/>
    <n v="0"/>
    <n v="0"/>
    <n v="0"/>
    <n v="0"/>
    <n v="0"/>
    <n v="0"/>
    <m/>
    <n v="55"/>
  </r>
  <r>
    <x v="688"/>
    <d v="2025-05-27T00:00:00"/>
    <x v="0"/>
    <x v="0"/>
    <x v="0"/>
    <x v="5"/>
    <s v="Premium"/>
    <n v="1"/>
    <n v="0"/>
    <n v="0"/>
    <n v="0"/>
    <n v="0"/>
    <n v="0"/>
    <n v="0"/>
    <m/>
    <n v="64.8"/>
  </r>
  <r>
    <x v="689"/>
    <d v="2025-04-07T00:00:00"/>
    <x v="0"/>
    <x v="3"/>
    <x v="0"/>
    <x v="1"/>
    <s v="Basic"/>
    <n v="0"/>
    <n v="0"/>
    <n v="0"/>
    <n v="0"/>
    <n v="0"/>
    <n v="2"/>
    <n v="0"/>
    <m/>
    <n v="41.8"/>
  </r>
  <r>
    <x v="690"/>
    <d v="2025-04-14T00:00:00"/>
    <x v="1"/>
    <x v="2"/>
    <x v="0"/>
    <x v="4"/>
    <s v="Basic"/>
    <n v="1"/>
    <n v="0"/>
    <n v="0"/>
    <n v="0"/>
    <n v="0"/>
    <n v="0"/>
    <n v="0"/>
    <m/>
    <n v="73.2"/>
  </r>
  <r>
    <x v="691"/>
    <d v="2025-05-09T00:00:00"/>
    <x v="1"/>
    <x v="2"/>
    <x v="0"/>
    <x v="1"/>
    <s v="Basic"/>
    <n v="1"/>
    <n v="1"/>
    <n v="1"/>
    <n v="0"/>
    <n v="0"/>
    <n v="3"/>
    <n v="0"/>
    <m/>
    <n v="55.7"/>
  </r>
  <r>
    <x v="692"/>
    <d v="2025-03-21T00:00:00"/>
    <x v="1"/>
    <x v="0"/>
    <x v="1"/>
    <x v="1"/>
    <s v="Free"/>
    <n v="1"/>
    <n v="1"/>
    <n v="1"/>
    <n v="0"/>
    <n v="0"/>
    <n v="0"/>
    <n v="0"/>
    <m/>
    <n v="82.8"/>
  </r>
  <r>
    <x v="693"/>
    <d v="2025-03-27T00:00:00"/>
    <x v="1"/>
    <x v="0"/>
    <x v="0"/>
    <x v="4"/>
    <s v="Free"/>
    <n v="1"/>
    <n v="0"/>
    <n v="0"/>
    <n v="0"/>
    <n v="0"/>
    <n v="0"/>
    <n v="0"/>
    <m/>
    <m/>
  </r>
  <r>
    <x v="694"/>
    <d v="2025-01-21T00:00:00"/>
    <x v="1"/>
    <x v="3"/>
    <x v="1"/>
    <x v="2"/>
    <s v="Free"/>
    <n v="0"/>
    <n v="0"/>
    <n v="0"/>
    <n v="0"/>
    <n v="0"/>
    <n v="0"/>
    <n v="0"/>
    <m/>
    <n v="34.4"/>
  </r>
  <r>
    <x v="695"/>
    <d v="2025-03-19T00:00:00"/>
    <x v="1"/>
    <x v="2"/>
    <x v="0"/>
    <x v="0"/>
    <s v="Free"/>
    <n v="1"/>
    <n v="0"/>
    <n v="0"/>
    <n v="0"/>
    <n v="0"/>
    <n v="0"/>
    <n v="0"/>
    <m/>
    <n v="45.2"/>
  </r>
  <r>
    <x v="696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x v="697"/>
    <d v="2025-01-01T00:00:00"/>
    <x v="1"/>
    <x v="0"/>
    <x v="1"/>
    <x v="4"/>
    <s v="Free"/>
    <n v="1"/>
    <n v="1"/>
    <n v="1"/>
    <n v="0"/>
    <n v="0"/>
    <n v="0"/>
    <n v="0"/>
    <m/>
    <n v="69.099999999999994"/>
  </r>
  <r>
    <x v="698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x v="699"/>
    <d v="2025-03-17T00:00:00"/>
    <x v="1"/>
    <x v="1"/>
    <x v="0"/>
    <x v="1"/>
    <s v="Basic"/>
    <n v="1"/>
    <n v="0"/>
    <n v="0"/>
    <n v="0"/>
    <n v="0"/>
    <n v="1"/>
    <n v="0"/>
    <m/>
    <n v="60.8"/>
  </r>
  <r>
    <x v="700"/>
    <d v="2025-05-05T00:00:00"/>
    <x v="1"/>
    <x v="0"/>
    <x v="1"/>
    <x v="1"/>
    <s v="Free"/>
    <n v="1"/>
    <n v="1"/>
    <n v="1"/>
    <n v="1"/>
    <n v="444.13"/>
    <n v="0"/>
    <n v="0"/>
    <n v="10"/>
    <n v="80.7"/>
  </r>
  <r>
    <x v="701"/>
    <d v="2025-05-04T00:00:00"/>
    <x v="1"/>
    <x v="3"/>
    <x v="1"/>
    <x v="4"/>
    <s v="Free"/>
    <n v="1"/>
    <n v="0"/>
    <n v="0"/>
    <n v="0"/>
    <n v="0"/>
    <n v="0"/>
    <n v="0"/>
    <m/>
    <n v="69.2"/>
  </r>
  <r>
    <x v="702"/>
    <d v="2025-03-25T00:00:00"/>
    <x v="1"/>
    <x v="0"/>
    <x v="1"/>
    <x v="4"/>
    <s v="Premium"/>
    <n v="0"/>
    <n v="0"/>
    <n v="0"/>
    <n v="0"/>
    <n v="0"/>
    <n v="3"/>
    <n v="0"/>
    <m/>
    <n v="55"/>
  </r>
  <r>
    <x v="703"/>
    <d v="2025-04-17T00:00:00"/>
    <x v="1"/>
    <x v="1"/>
    <x v="1"/>
    <x v="0"/>
    <s v="Free"/>
    <n v="0"/>
    <n v="0"/>
    <n v="0"/>
    <n v="0"/>
    <n v="0"/>
    <n v="1"/>
    <n v="0"/>
    <m/>
    <n v="73.599999999999994"/>
  </r>
  <r>
    <x v="704"/>
    <d v="2025-05-23T00:00:00"/>
    <x v="1"/>
    <x v="3"/>
    <x v="1"/>
    <x v="3"/>
    <s v="Basic"/>
    <n v="1"/>
    <n v="1"/>
    <n v="1"/>
    <n v="0"/>
    <n v="0"/>
    <n v="1"/>
    <n v="0"/>
    <m/>
    <n v="47.3"/>
  </r>
  <r>
    <x v="705"/>
    <d v="2025-01-13T00:00:00"/>
    <x v="1"/>
    <x v="0"/>
    <x v="1"/>
    <x v="1"/>
    <s v="Basic"/>
    <n v="0"/>
    <n v="0"/>
    <n v="0"/>
    <n v="0"/>
    <n v="0"/>
    <n v="0"/>
    <n v="0"/>
    <m/>
    <n v="43.6"/>
  </r>
  <r>
    <x v="706"/>
    <d v="2025-01-29T00:00:00"/>
    <x v="1"/>
    <x v="0"/>
    <x v="0"/>
    <x v="1"/>
    <s v="Basic"/>
    <n v="1"/>
    <n v="0"/>
    <n v="0"/>
    <n v="0"/>
    <n v="0"/>
    <n v="0"/>
    <n v="0"/>
    <m/>
    <m/>
  </r>
  <r>
    <x v="707"/>
    <d v="2025-05-11T00:00:00"/>
    <x v="1"/>
    <x v="3"/>
    <x v="1"/>
    <x v="0"/>
    <s v="Free"/>
    <n v="0"/>
    <n v="0"/>
    <n v="0"/>
    <n v="0"/>
    <n v="0"/>
    <n v="0"/>
    <n v="0"/>
    <m/>
    <n v="55.2"/>
  </r>
  <r>
    <x v="708"/>
    <d v="2025-04-22T00:00:00"/>
    <x v="1"/>
    <x v="3"/>
    <x v="1"/>
    <x v="1"/>
    <s v="Basic"/>
    <n v="1"/>
    <n v="0"/>
    <n v="0"/>
    <n v="0"/>
    <n v="0"/>
    <n v="0"/>
    <n v="0"/>
    <m/>
    <n v="49.4"/>
  </r>
  <r>
    <x v="709"/>
    <d v="2025-03-03T00:00:00"/>
    <x v="1"/>
    <x v="3"/>
    <x v="1"/>
    <x v="4"/>
    <s v="Free"/>
    <n v="1"/>
    <n v="1"/>
    <n v="1"/>
    <n v="0"/>
    <n v="0"/>
    <n v="1"/>
    <n v="0"/>
    <m/>
    <n v="60.1"/>
  </r>
  <r>
    <x v="710"/>
    <d v="2025-03-18T00:00:00"/>
    <x v="1"/>
    <x v="0"/>
    <x v="1"/>
    <x v="3"/>
    <s v="Free"/>
    <n v="1"/>
    <n v="0"/>
    <n v="0"/>
    <n v="0"/>
    <n v="0"/>
    <n v="0"/>
    <n v="0"/>
    <m/>
    <n v="55.9"/>
  </r>
  <r>
    <x v="711"/>
    <d v="2025-04-05T00:00:00"/>
    <x v="1"/>
    <x v="0"/>
    <x v="1"/>
    <x v="1"/>
    <s v="Basic"/>
    <n v="1"/>
    <n v="0"/>
    <n v="0"/>
    <n v="0"/>
    <n v="0"/>
    <n v="0"/>
    <n v="0"/>
    <m/>
    <n v="51.5"/>
  </r>
  <r>
    <x v="712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x v="713"/>
    <d v="2025-04-20T00:00:00"/>
    <x v="1"/>
    <x v="3"/>
    <x v="1"/>
    <x v="3"/>
    <s v="Free"/>
    <n v="1"/>
    <n v="1"/>
    <n v="1"/>
    <n v="1"/>
    <n v="277.18"/>
    <n v="2"/>
    <n v="0"/>
    <n v="8"/>
    <n v="59.2"/>
  </r>
  <r>
    <x v="714"/>
    <d v="2025-02-15T00:00:00"/>
    <x v="1"/>
    <x v="3"/>
    <x v="1"/>
    <x v="1"/>
    <s v="Free"/>
    <n v="0"/>
    <n v="0"/>
    <n v="0"/>
    <n v="0"/>
    <n v="0"/>
    <n v="0"/>
    <n v="0"/>
    <m/>
    <n v="64.2"/>
  </r>
  <r>
    <x v="715"/>
    <d v="2025-01-21T00:00:00"/>
    <x v="1"/>
    <x v="3"/>
    <x v="1"/>
    <x v="1"/>
    <s v="Free"/>
    <n v="1"/>
    <n v="0"/>
    <n v="0"/>
    <n v="0"/>
    <n v="0"/>
    <n v="0"/>
    <n v="0"/>
    <m/>
    <n v="68.8"/>
  </r>
  <r>
    <x v="716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x v="717"/>
    <d v="2025-01-22T00:00:00"/>
    <x v="1"/>
    <x v="1"/>
    <x v="1"/>
    <x v="2"/>
    <s v="Basic"/>
    <n v="0"/>
    <n v="0"/>
    <n v="0"/>
    <n v="0"/>
    <n v="0"/>
    <n v="0"/>
    <n v="0"/>
    <m/>
    <n v="92.1"/>
  </r>
  <r>
    <x v="718"/>
    <d v="2025-04-24T00:00:00"/>
    <x v="1"/>
    <x v="1"/>
    <x v="1"/>
    <x v="2"/>
    <s v="Premium"/>
    <n v="0"/>
    <n v="0"/>
    <n v="0"/>
    <n v="0"/>
    <n v="0"/>
    <n v="0"/>
    <n v="0"/>
    <m/>
    <n v="63.6"/>
  </r>
  <r>
    <x v="719"/>
    <d v="2025-01-17T00:00:00"/>
    <x v="1"/>
    <x v="1"/>
    <x v="0"/>
    <x v="0"/>
    <s v="Free"/>
    <n v="0"/>
    <n v="0"/>
    <n v="0"/>
    <n v="0"/>
    <n v="0"/>
    <n v="2"/>
    <n v="0"/>
    <m/>
    <n v="61.6"/>
  </r>
  <r>
    <x v="720"/>
    <d v="2025-01-22T00:00:00"/>
    <x v="1"/>
    <x v="2"/>
    <x v="1"/>
    <x v="3"/>
    <s v="Basic"/>
    <n v="1"/>
    <n v="1"/>
    <n v="0"/>
    <n v="0"/>
    <n v="0"/>
    <n v="0"/>
    <n v="0"/>
    <m/>
    <n v="82.3"/>
  </r>
  <r>
    <x v="721"/>
    <d v="2025-05-04T00:00:00"/>
    <x v="1"/>
    <x v="2"/>
    <x v="0"/>
    <x v="2"/>
    <s v="Free"/>
    <n v="1"/>
    <n v="0"/>
    <n v="0"/>
    <n v="0"/>
    <n v="0"/>
    <n v="0"/>
    <n v="0"/>
    <m/>
    <n v="79.3"/>
  </r>
  <r>
    <x v="722"/>
    <d v="2025-03-13T00:00:00"/>
    <x v="1"/>
    <x v="3"/>
    <x v="1"/>
    <x v="5"/>
    <s v="Free"/>
    <n v="0"/>
    <n v="0"/>
    <n v="0"/>
    <n v="0"/>
    <n v="0"/>
    <n v="0"/>
    <n v="0"/>
    <m/>
    <n v="57.7"/>
  </r>
  <r>
    <x v="723"/>
    <d v="2025-01-02T00:00:00"/>
    <x v="1"/>
    <x v="0"/>
    <x v="1"/>
    <x v="1"/>
    <s v="Basic"/>
    <n v="1"/>
    <n v="0"/>
    <n v="0"/>
    <n v="0"/>
    <n v="0"/>
    <n v="0"/>
    <n v="0"/>
    <m/>
    <n v="63.1"/>
  </r>
  <r>
    <x v="724"/>
    <d v="2025-01-13T00:00:00"/>
    <x v="1"/>
    <x v="2"/>
    <x v="1"/>
    <x v="2"/>
    <s v="Basic"/>
    <n v="0"/>
    <n v="0"/>
    <n v="0"/>
    <n v="0"/>
    <n v="0"/>
    <n v="0"/>
    <n v="0"/>
    <m/>
    <n v="72.3"/>
  </r>
  <r>
    <x v="725"/>
    <d v="2025-02-09T00:00:00"/>
    <x v="1"/>
    <x v="2"/>
    <x v="1"/>
    <x v="4"/>
    <s v="Free"/>
    <n v="1"/>
    <n v="1"/>
    <n v="1"/>
    <n v="0"/>
    <n v="0"/>
    <n v="0"/>
    <n v="0"/>
    <m/>
    <n v="78"/>
  </r>
  <r>
    <x v="726"/>
    <d v="2025-04-09T00:00:00"/>
    <x v="1"/>
    <x v="2"/>
    <x v="0"/>
    <x v="4"/>
    <s v="Free"/>
    <n v="1"/>
    <n v="1"/>
    <n v="0"/>
    <n v="0"/>
    <n v="0"/>
    <n v="2"/>
    <n v="0"/>
    <m/>
    <n v="59.1"/>
  </r>
  <r>
    <x v="727"/>
    <d v="2025-01-02T00:00:00"/>
    <x v="1"/>
    <x v="3"/>
    <x v="1"/>
    <x v="2"/>
    <s v="Free"/>
    <n v="1"/>
    <n v="1"/>
    <n v="1"/>
    <n v="1"/>
    <n v="604.09"/>
    <n v="0"/>
    <n v="0"/>
    <n v="7"/>
    <n v="47.1"/>
  </r>
  <r>
    <x v="728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x v="729"/>
    <d v="2025-02-19T00:00:00"/>
    <x v="1"/>
    <x v="3"/>
    <x v="2"/>
    <x v="2"/>
    <s v="Free"/>
    <n v="0"/>
    <n v="0"/>
    <n v="0"/>
    <n v="0"/>
    <n v="0"/>
    <n v="0"/>
    <n v="0"/>
    <m/>
    <n v="67.3"/>
  </r>
  <r>
    <x v="730"/>
    <d v="2025-04-01T00:00:00"/>
    <x v="1"/>
    <x v="2"/>
    <x v="1"/>
    <x v="2"/>
    <s v="Basic"/>
    <n v="1"/>
    <n v="0"/>
    <n v="0"/>
    <n v="0"/>
    <n v="0"/>
    <n v="2"/>
    <n v="0"/>
    <m/>
    <n v="52.9"/>
  </r>
  <r>
    <x v="731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x v="732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x v="733"/>
    <d v="2025-04-15T00:00:00"/>
    <x v="1"/>
    <x v="2"/>
    <x v="0"/>
    <x v="4"/>
    <s v="Premium"/>
    <n v="1"/>
    <n v="1"/>
    <n v="0"/>
    <n v="0"/>
    <n v="0"/>
    <n v="0"/>
    <n v="0"/>
    <m/>
    <n v="83.3"/>
  </r>
  <r>
    <x v="734"/>
    <d v="2025-03-28T00:00:00"/>
    <x v="1"/>
    <x v="2"/>
    <x v="0"/>
    <x v="0"/>
    <s v="Free"/>
    <n v="1"/>
    <n v="0"/>
    <n v="0"/>
    <n v="0"/>
    <n v="0"/>
    <n v="1"/>
    <n v="0"/>
    <m/>
    <n v="24.5"/>
  </r>
  <r>
    <x v="735"/>
    <d v="2025-04-01T00:00:00"/>
    <x v="1"/>
    <x v="1"/>
    <x v="1"/>
    <x v="2"/>
    <s v="Basic"/>
    <n v="1"/>
    <n v="1"/>
    <n v="0"/>
    <n v="0"/>
    <n v="0"/>
    <n v="1"/>
    <n v="0"/>
    <m/>
    <n v="56.9"/>
  </r>
  <r>
    <x v="736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x v="737"/>
    <d v="2025-03-04T00:00:00"/>
    <x v="1"/>
    <x v="3"/>
    <x v="1"/>
    <x v="1"/>
    <s v="Free"/>
    <n v="1"/>
    <n v="1"/>
    <n v="1"/>
    <n v="0"/>
    <n v="0"/>
    <n v="0"/>
    <n v="0"/>
    <m/>
    <n v="81.5"/>
  </r>
  <r>
    <x v="738"/>
    <d v="2025-01-21T00:00:00"/>
    <x v="1"/>
    <x v="0"/>
    <x v="2"/>
    <x v="4"/>
    <s v="Basic"/>
    <n v="0"/>
    <n v="0"/>
    <n v="0"/>
    <n v="0"/>
    <n v="0"/>
    <n v="2"/>
    <n v="0"/>
    <m/>
    <n v="37.9"/>
  </r>
  <r>
    <x v="739"/>
    <d v="2025-02-14T00:00:00"/>
    <x v="1"/>
    <x v="0"/>
    <x v="1"/>
    <x v="3"/>
    <s v="Free"/>
    <n v="0"/>
    <n v="0"/>
    <n v="0"/>
    <n v="0"/>
    <n v="0"/>
    <n v="1"/>
    <n v="0"/>
    <m/>
    <n v="61.7"/>
  </r>
  <r>
    <x v="740"/>
    <d v="2025-03-30T00:00:00"/>
    <x v="1"/>
    <x v="0"/>
    <x v="0"/>
    <x v="5"/>
    <s v="Premium"/>
    <n v="1"/>
    <n v="0"/>
    <n v="0"/>
    <n v="0"/>
    <n v="0"/>
    <n v="2"/>
    <n v="0"/>
    <m/>
    <n v="53.2"/>
  </r>
  <r>
    <x v="741"/>
    <d v="2025-01-08T00:00:00"/>
    <x v="1"/>
    <x v="0"/>
    <x v="1"/>
    <x v="3"/>
    <s v="Free"/>
    <n v="0"/>
    <n v="0"/>
    <n v="0"/>
    <n v="0"/>
    <n v="0"/>
    <n v="0"/>
    <n v="0"/>
    <m/>
    <n v="61.9"/>
  </r>
  <r>
    <x v="742"/>
    <d v="2025-02-07T00:00:00"/>
    <x v="1"/>
    <x v="0"/>
    <x v="1"/>
    <x v="4"/>
    <s v="Free"/>
    <n v="1"/>
    <n v="1"/>
    <n v="1"/>
    <n v="0"/>
    <n v="0"/>
    <n v="0"/>
    <n v="0"/>
    <m/>
    <n v="68.900000000000006"/>
  </r>
  <r>
    <x v="743"/>
    <d v="2025-02-01T00:00:00"/>
    <x v="1"/>
    <x v="0"/>
    <x v="2"/>
    <x v="2"/>
    <s v="Basic"/>
    <n v="0"/>
    <n v="0"/>
    <n v="0"/>
    <n v="0"/>
    <n v="0"/>
    <n v="0"/>
    <n v="0"/>
    <m/>
    <n v="66.3"/>
  </r>
  <r>
    <x v="744"/>
    <d v="2025-01-04T00:00:00"/>
    <x v="1"/>
    <x v="2"/>
    <x v="1"/>
    <x v="0"/>
    <s v="Free"/>
    <n v="1"/>
    <n v="1"/>
    <n v="1"/>
    <n v="0"/>
    <n v="0"/>
    <n v="0"/>
    <n v="0"/>
    <m/>
    <n v="54.6"/>
  </r>
  <r>
    <x v="745"/>
    <d v="2025-05-16T00:00:00"/>
    <x v="1"/>
    <x v="3"/>
    <x v="0"/>
    <x v="3"/>
    <s v="Free"/>
    <n v="0"/>
    <n v="0"/>
    <n v="0"/>
    <n v="0"/>
    <n v="0"/>
    <n v="0"/>
    <n v="0"/>
    <m/>
    <n v="53.8"/>
  </r>
  <r>
    <x v="746"/>
    <d v="2025-02-28T00:00:00"/>
    <x v="1"/>
    <x v="1"/>
    <x v="1"/>
    <x v="3"/>
    <s v="Free"/>
    <n v="1"/>
    <n v="0"/>
    <n v="0"/>
    <n v="0"/>
    <n v="0"/>
    <n v="0"/>
    <n v="0"/>
    <m/>
    <n v="59.5"/>
  </r>
  <r>
    <x v="747"/>
    <d v="2025-04-12T00:00:00"/>
    <x v="1"/>
    <x v="0"/>
    <x v="1"/>
    <x v="3"/>
    <s v="Free"/>
    <n v="1"/>
    <n v="0"/>
    <n v="0"/>
    <n v="0"/>
    <n v="0"/>
    <n v="0"/>
    <n v="0"/>
    <m/>
    <n v="52.6"/>
  </r>
  <r>
    <x v="748"/>
    <d v="2025-03-23T00:00:00"/>
    <x v="1"/>
    <x v="3"/>
    <x v="0"/>
    <x v="1"/>
    <s v="Free"/>
    <n v="0"/>
    <n v="0"/>
    <n v="0"/>
    <n v="0"/>
    <n v="0"/>
    <n v="0"/>
    <n v="0"/>
    <m/>
    <n v="49"/>
  </r>
  <r>
    <x v="749"/>
    <d v="2025-05-29T00:00:00"/>
    <x v="1"/>
    <x v="0"/>
    <x v="2"/>
    <x v="1"/>
    <s v="Free"/>
    <n v="1"/>
    <n v="0"/>
    <n v="0"/>
    <n v="0"/>
    <n v="0"/>
    <n v="0"/>
    <n v="0"/>
    <m/>
    <n v="59.3"/>
  </r>
  <r>
    <x v="750"/>
    <d v="2025-05-21T00:00:00"/>
    <x v="1"/>
    <x v="3"/>
    <x v="0"/>
    <x v="1"/>
    <s v="Basic"/>
    <n v="0"/>
    <n v="0"/>
    <n v="0"/>
    <n v="0"/>
    <n v="0"/>
    <n v="0"/>
    <n v="0"/>
    <m/>
    <n v="67.2"/>
  </r>
  <r>
    <x v="751"/>
    <d v="2025-01-05T00:00:00"/>
    <x v="1"/>
    <x v="3"/>
    <x v="1"/>
    <x v="3"/>
    <s v="Premium"/>
    <n v="0"/>
    <n v="0"/>
    <n v="0"/>
    <n v="0"/>
    <n v="0"/>
    <n v="0"/>
    <n v="0"/>
    <m/>
    <n v="73.5"/>
  </r>
  <r>
    <x v="752"/>
    <d v="2025-03-19T00:00:00"/>
    <x v="1"/>
    <x v="2"/>
    <x v="2"/>
    <x v="1"/>
    <s v="Free"/>
    <n v="1"/>
    <n v="0"/>
    <n v="0"/>
    <n v="0"/>
    <n v="0"/>
    <n v="0"/>
    <n v="0"/>
    <m/>
    <n v="61.2"/>
  </r>
  <r>
    <x v="753"/>
    <d v="2025-04-24T00:00:00"/>
    <x v="1"/>
    <x v="2"/>
    <x v="1"/>
    <x v="1"/>
    <s v="Free"/>
    <n v="1"/>
    <n v="0"/>
    <n v="0"/>
    <n v="0"/>
    <n v="0"/>
    <n v="1"/>
    <n v="0"/>
    <m/>
    <n v="56.4"/>
  </r>
  <r>
    <x v="754"/>
    <d v="2025-03-10T00:00:00"/>
    <x v="1"/>
    <x v="0"/>
    <x v="2"/>
    <x v="1"/>
    <s v="Free"/>
    <n v="0"/>
    <n v="0"/>
    <n v="0"/>
    <n v="0"/>
    <n v="0"/>
    <n v="3"/>
    <n v="0"/>
    <m/>
    <n v="72.599999999999994"/>
  </r>
  <r>
    <x v="755"/>
    <d v="2025-02-22T00:00:00"/>
    <x v="1"/>
    <x v="3"/>
    <x v="2"/>
    <x v="3"/>
    <s v="Basic"/>
    <n v="1"/>
    <n v="0"/>
    <n v="0"/>
    <n v="0"/>
    <n v="0"/>
    <n v="0"/>
    <n v="0"/>
    <m/>
    <n v="61.7"/>
  </r>
  <r>
    <x v="756"/>
    <d v="2025-05-17T00:00:00"/>
    <x v="1"/>
    <x v="2"/>
    <x v="1"/>
    <x v="4"/>
    <s v="Free"/>
    <n v="0"/>
    <n v="0"/>
    <n v="0"/>
    <n v="0"/>
    <n v="0"/>
    <n v="1"/>
    <n v="0"/>
    <m/>
    <n v="66.900000000000006"/>
  </r>
  <r>
    <x v="757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x v="2"/>
    <x v="1"/>
    <s v="Premium"/>
    <n v="1"/>
    <n v="0"/>
    <n v="0"/>
    <n v="0"/>
    <n v="0"/>
    <n v="0"/>
    <n v="0"/>
    <m/>
    <n v="57.5"/>
  </r>
  <r>
    <x v="759"/>
    <d v="2025-03-15T00:00:00"/>
    <x v="1"/>
    <x v="1"/>
    <x v="0"/>
    <x v="4"/>
    <s v="Free"/>
    <n v="1"/>
    <n v="1"/>
    <n v="1"/>
    <n v="0"/>
    <n v="0"/>
    <n v="0"/>
    <n v="0"/>
    <m/>
    <n v="76.3"/>
  </r>
  <r>
    <x v="760"/>
    <d v="2025-04-03T00:00:00"/>
    <x v="1"/>
    <x v="0"/>
    <x v="1"/>
    <x v="2"/>
    <s v="Free"/>
    <n v="0"/>
    <n v="0"/>
    <n v="0"/>
    <n v="0"/>
    <n v="0"/>
    <n v="0"/>
    <n v="0"/>
    <m/>
    <n v="47.5"/>
  </r>
  <r>
    <x v="761"/>
    <d v="2025-03-26T00:00:00"/>
    <x v="1"/>
    <x v="3"/>
    <x v="1"/>
    <x v="2"/>
    <s v="Free"/>
    <n v="0"/>
    <n v="0"/>
    <n v="0"/>
    <n v="0"/>
    <n v="0"/>
    <n v="0"/>
    <n v="0"/>
    <m/>
    <m/>
  </r>
  <r>
    <x v="762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x v="763"/>
    <d v="2025-05-08T00:00:00"/>
    <x v="1"/>
    <x v="3"/>
    <x v="1"/>
    <x v="4"/>
    <s v="Basic"/>
    <n v="1"/>
    <n v="1"/>
    <n v="0"/>
    <n v="0"/>
    <n v="0"/>
    <n v="0"/>
    <n v="0"/>
    <m/>
    <n v="55.8"/>
  </r>
  <r>
    <x v="764"/>
    <d v="2025-03-25T00:00:00"/>
    <x v="1"/>
    <x v="3"/>
    <x v="0"/>
    <x v="1"/>
    <s v="Basic"/>
    <n v="0"/>
    <n v="0"/>
    <n v="0"/>
    <n v="0"/>
    <n v="0"/>
    <n v="1"/>
    <n v="0"/>
    <m/>
    <n v="60.1"/>
  </r>
  <r>
    <x v="765"/>
    <d v="2025-01-14T00:00:00"/>
    <x v="1"/>
    <x v="1"/>
    <x v="3"/>
    <x v="0"/>
    <s v="Basic"/>
    <n v="1"/>
    <n v="1"/>
    <n v="1"/>
    <n v="0"/>
    <n v="0"/>
    <n v="1"/>
    <n v="0"/>
    <m/>
    <n v="59.3"/>
  </r>
  <r>
    <x v="766"/>
    <d v="2025-03-26T00:00:00"/>
    <x v="1"/>
    <x v="0"/>
    <x v="1"/>
    <x v="1"/>
    <s v="Free"/>
    <n v="1"/>
    <n v="1"/>
    <n v="0"/>
    <n v="0"/>
    <n v="0"/>
    <n v="2"/>
    <n v="0"/>
    <m/>
    <n v="49.3"/>
  </r>
  <r>
    <x v="767"/>
    <d v="2025-01-16T00:00:00"/>
    <x v="1"/>
    <x v="2"/>
    <x v="1"/>
    <x v="3"/>
    <s v="Free"/>
    <n v="1"/>
    <n v="0"/>
    <n v="0"/>
    <n v="0"/>
    <n v="0"/>
    <n v="0"/>
    <n v="0"/>
    <m/>
    <n v="75"/>
  </r>
  <r>
    <x v="768"/>
    <d v="2025-01-04T00:00:00"/>
    <x v="1"/>
    <x v="2"/>
    <x v="1"/>
    <x v="4"/>
    <s v="Free"/>
    <n v="1"/>
    <n v="0"/>
    <n v="0"/>
    <n v="0"/>
    <n v="0"/>
    <n v="0"/>
    <n v="0"/>
    <m/>
    <n v="70.2"/>
  </r>
  <r>
    <x v="769"/>
    <d v="2025-02-09T00:00:00"/>
    <x v="1"/>
    <x v="3"/>
    <x v="0"/>
    <x v="1"/>
    <s v="Premium"/>
    <n v="1"/>
    <n v="1"/>
    <n v="1"/>
    <n v="0"/>
    <n v="0"/>
    <n v="0"/>
    <n v="0"/>
    <m/>
    <n v="56.6"/>
  </r>
  <r>
    <x v="770"/>
    <d v="2025-03-05T00:00:00"/>
    <x v="1"/>
    <x v="2"/>
    <x v="0"/>
    <x v="1"/>
    <s v="Free"/>
    <n v="1"/>
    <n v="0"/>
    <n v="0"/>
    <n v="0"/>
    <n v="0"/>
    <n v="0"/>
    <n v="0"/>
    <m/>
    <n v="65.400000000000006"/>
  </r>
  <r>
    <x v="771"/>
    <d v="2025-03-10T00:00:00"/>
    <x v="1"/>
    <x v="2"/>
    <x v="1"/>
    <x v="3"/>
    <s v="Basic"/>
    <n v="1"/>
    <n v="0"/>
    <n v="0"/>
    <n v="0"/>
    <n v="0"/>
    <n v="0"/>
    <n v="0"/>
    <m/>
    <n v="47.6"/>
  </r>
  <r>
    <x v="772"/>
    <d v="2025-02-27T00:00:00"/>
    <x v="1"/>
    <x v="2"/>
    <x v="0"/>
    <x v="2"/>
    <s v="Free"/>
    <n v="1"/>
    <n v="0"/>
    <n v="0"/>
    <n v="0"/>
    <n v="0"/>
    <n v="0"/>
    <n v="0"/>
    <m/>
    <n v="56.7"/>
  </r>
  <r>
    <x v="773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x v="774"/>
    <d v="2025-04-23T00:00:00"/>
    <x v="1"/>
    <x v="1"/>
    <x v="1"/>
    <x v="4"/>
    <s v="Free"/>
    <n v="0"/>
    <n v="0"/>
    <n v="0"/>
    <n v="0"/>
    <n v="0"/>
    <n v="2"/>
    <n v="0"/>
    <m/>
    <n v="60.5"/>
  </r>
  <r>
    <x v="775"/>
    <d v="2025-04-12T00:00:00"/>
    <x v="1"/>
    <x v="0"/>
    <x v="0"/>
    <x v="2"/>
    <s v="Free"/>
    <n v="1"/>
    <n v="0"/>
    <n v="0"/>
    <n v="0"/>
    <n v="0"/>
    <n v="0"/>
    <n v="0"/>
    <m/>
    <n v="46.7"/>
  </r>
  <r>
    <x v="776"/>
    <d v="2025-01-26T00:00:00"/>
    <x v="1"/>
    <x v="2"/>
    <x v="0"/>
    <x v="3"/>
    <s v="Free"/>
    <n v="0"/>
    <n v="0"/>
    <n v="0"/>
    <n v="0"/>
    <n v="0"/>
    <n v="0"/>
    <n v="0"/>
    <m/>
    <n v="61"/>
  </r>
  <r>
    <x v="777"/>
    <d v="2025-05-24T00:00:00"/>
    <x v="1"/>
    <x v="1"/>
    <x v="2"/>
    <x v="2"/>
    <s v="Free"/>
    <n v="0"/>
    <n v="0"/>
    <n v="0"/>
    <n v="0"/>
    <n v="0"/>
    <n v="0"/>
    <n v="0"/>
    <m/>
    <n v="60.9"/>
  </r>
  <r>
    <x v="778"/>
    <d v="2025-01-08T00:00:00"/>
    <x v="1"/>
    <x v="3"/>
    <x v="1"/>
    <x v="1"/>
    <s v="Free"/>
    <n v="1"/>
    <n v="0"/>
    <n v="0"/>
    <n v="0"/>
    <n v="0"/>
    <n v="0"/>
    <n v="0"/>
    <m/>
    <n v="67.099999999999994"/>
  </r>
  <r>
    <x v="779"/>
    <d v="2025-04-15T00:00:00"/>
    <x v="1"/>
    <x v="0"/>
    <x v="1"/>
    <x v="3"/>
    <s v="Free"/>
    <n v="1"/>
    <n v="1"/>
    <n v="0"/>
    <n v="0"/>
    <n v="0"/>
    <n v="0"/>
    <n v="0"/>
    <m/>
    <n v="59.6"/>
  </r>
  <r>
    <x v="780"/>
    <d v="2025-01-15T00:00:00"/>
    <x v="1"/>
    <x v="3"/>
    <x v="0"/>
    <x v="2"/>
    <s v="Free"/>
    <n v="1"/>
    <n v="0"/>
    <n v="0"/>
    <n v="0"/>
    <n v="0"/>
    <n v="0"/>
    <n v="0"/>
    <m/>
    <n v="83.8"/>
  </r>
  <r>
    <x v="781"/>
    <d v="2025-02-28T00:00:00"/>
    <x v="1"/>
    <x v="0"/>
    <x v="1"/>
    <x v="1"/>
    <s v="Basic"/>
    <n v="1"/>
    <n v="1"/>
    <n v="1"/>
    <n v="0"/>
    <n v="0"/>
    <n v="0"/>
    <n v="0"/>
    <m/>
    <n v="70.8"/>
  </r>
  <r>
    <x v="782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x v="783"/>
    <d v="2025-04-17T00:00:00"/>
    <x v="1"/>
    <x v="1"/>
    <x v="1"/>
    <x v="3"/>
    <s v="Free"/>
    <n v="1"/>
    <n v="0"/>
    <n v="0"/>
    <n v="0"/>
    <n v="0"/>
    <n v="0"/>
    <n v="0"/>
    <m/>
    <n v="58"/>
  </r>
  <r>
    <x v="784"/>
    <d v="2025-02-19T00:00:00"/>
    <x v="1"/>
    <x v="0"/>
    <x v="1"/>
    <x v="0"/>
    <s v="Basic"/>
    <n v="1"/>
    <n v="1"/>
    <n v="0"/>
    <n v="0"/>
    <n v="0"/>
    <n v="0"/>
    <n v="0"/>
    <m/>
    <n v="80.3"/>
  </r>
  <r>
    <x v="785"/>
    <d v="2025-03-14T00:00:00"/>
    <x v="1"/>
    <x v="0"/>
    <x v="0"/>
    <x v="1"/>
    <s v="Free"/>
    <n v="1"/>
    <n v="0"/>
    <n v="0"/>
    <n v="0"/>
    <n v="0"/>
    <n v="0"/>
    <n v="0"/>
    <m/>
    <n v="55.7"/>
  </r>
  <r>
    <x v="786"/>
    <d v="2025-04-21T00:00:00"/>
    <x v="1"/>
    <x v="0"/>
    <x v="1"/>
    <x v="1"/>
    <s v="Free"/>
    <n v="1"/>
    <n v="1"/>
    <n v="0"/>
    <n v="0"/>
    <n v="0"/>
    <n v="0"/>
    <n v="0"/>
    <m/>
    <n v="84.9"/>
  </r>
  <r>
    <x v="787"/>
    <d v="2025-02-14T00:00:00"/>
    <x v="1"/>
    <x v="0"/>
    <x v="1"/>
    <x v="1"/>
    <s v="Free"/>
    <n v="1"/>
    <n v="0"/>
    <n v="0"/>
    <n v="0"/>
    <n v="0"/>
    <n v="0"/>
    <n v="0"/>
    <m/>
    <n v="63.3"/>
  </r>
  <r>
    <x v="788"/>
    <d v="2025-05-30T00:00:00"/>
    <x v="1"/>
    <x v="1"/>
    <x v="1"/>
    <x v="1"/>
    <s v="Free"/>
    <n v="0"/>
    <n v="0"/>
    <n v="0"/>
    <n v="0"/>
    <n v="0"/>
    <n v="0"/>
    <n v="0"/>
    <m/>
    <n v="53.1"/>
  </r>
  <r>
    <x v="789"/>
    <d v="2025-01-20T00:00:00"/>
    <x v="1"/>
    <x v="1"/>
    <x v="1"/>
    <x v="1"/>
    <s v="Free"/>
    <n v="0"/>
    <n v="0"/>
    <n v="0"/>
    <n v="0"/>
    <n v="0"/>
    <n v="0"/>
    <n v="0"/>
    <m/>
    <n v="66"/>
  </r>
  <r>
    <x v="790"/>
    <d v="2025-03-17T00:00:00"/>
    <x v="1"/>
    <x v="1"/>
    <x v="1"/>
    <x v="4"/>
    <s v="Premium"/>
    <n v="0"/>
    <n v="0"/>
    <n v="0"/>
    <n v="0"/>
    <n v="0"/>
    <n v="0"/>
    <n v="0"/>
    <m/>
    <n v="54.7"/>
  </r>
  <r>
    <x v="791"/>
    <d v="2025-03-04T00:00:00"/>
    <x v="1"/>
    <x v="1"/>
    <x v="1"/>
    <x v="4"/>
    <s v="Free"/>
    <n v="1"/>
    <n v="1"/>
    <n v="0"/>
    <n v="0"/>
    <n v="0"/>
    <n v="1"/>
    <n v="0"/>
    <m/>
    <n v="41.2"/>
  </r>
  <r>
    <x v="792"/>
    <d v="2025-02-22T00:00:00"/>
    <x v="1"/>
    <x v="3"/>
    <x v="1"/>
    <x v="1"/>
    <s v="Premium"/>
    <n v="0"/>
    <n v="0"/>
    <n v="0"/>
    <n v="0"/>
    <n v="0"/>
    <n v="0"/>
    <n v="0"/>
    <m/>
    <n v="66.7"/>
  </r>
  <r>
    <x v="793"/>
    <d v="2025-05-02T00:00:00"/>
    <x v="1"/>
    <x v="0"/>
    <x v="1"/>
    <x v="2"/>
    <s v="Premium"/>
    <n v="0"/>
    <n v="0"/>
    <n v="0"/>
    <n v="0"/>
    <n v="0"/>
    <n v="0"/>
    <n v="0"/>
    <m/>
    <n v="39.4"/>
  </r>
  <r>
    <x v="794"/>
    <d v="2025-03-13T00:00:00"/>
    <x v="1"/>
    <x v="1"/>
    <x v="0"/>
    <x v="1"/>
    <s v="Premium"/>
    <n v="0"/>
    <n v="0"/>
    <n v="0"/>
    <n v="0"/>
    <n v="0"/>
    <n v="3"/>
    <n v="0"/>
    <m/>
    <n v="67"/>
  </r>
  <r>
    <x v="795"/>
    <d v="2025-05-31T00:00:00"/>
    <x v="1"/>
    <x v="3"/>
    <x v="1"/>
    <x v="1"/>
    <s v="Basic"/>
    <n v="1"/>
    <n v="0"/>
    <n v="0"/>
    <n v="0"/>
    <n v="0"/>
    <n v="0"/>
    <n v="0"/>
    <m/>
    <n v="50.4"/>
  </r>
  <r>
    <x v="796"/>
    <d v="2025-03-07T00:00:00"/>
    <x v="1"/>
    <x v="1"/>
    <x v="0"/>
    <x v="4"/>
    <s v="Free"/>
    <n v="1"/>
    <n v="0"/>
    <n v="0"/>
    <n v="0"/>
    <n v="0"/>
    <n v="0"/>
    <n v="0"/>
    <m/>
    <n v="53.8"/>
  </r>
  <r>
    <x v="797"/>
    <d v="2025-02-22T00:00:00"/>
    <x v="1"/>
    <x v="1"/>
    <x v="1"/>
    <x v="2"/>
    <s v="Basic"/>
    <n v="0"/>
    <n v="0"/>
    <n v="0"/>
    <n v="0"/>
    <n v="0"/>
    <n v="1"/>
    <n v="0"/>
    <m/>
    <n v="82.7"/>
  </r>
  <r>
    <x v="798"/>
    <d v="2025-01-05T00:00:00"/>
    <x v="1"/>
    <x v="1"/>
    <x v="0"/>
    <x v="2"/>
    <s v="Free"/>
    <n v="1"/>
    <n v="1"/>
    <n v="1"/>
    <n v="0"/>
    <n v="0"/>
    <n v="0"/>
    <n v="0"/>
    <m/>
    <n v="63.9"/>
  </r>
  <r>
    <x v="799"/>
    <d v="2025-01-21T00:00:00"/>
    <x v="1"/>
    <x v="1"/>
    <x v="1"/>
    <x v="3"/>
    <s v="Free"/>
    <n v="1"/>
    <n v="0"/>
    <n v="0"/>
    <n v="0"/>
    <n v="0"/>
    <n v="0"/>
    <n v="0"/>
    <m/>
    <n v="61.9"/>
  </r>
  <r>
    <x v="800"/>
    <d v="2025-01-25T00:00:00"/>
    <x v="1"/>
    <x v="0"/>
    <x v="0"/>
    <x v="4"/>
    <s v="Free"/>
    <n v="1"/>
    <n v="1"/>
    <n v="1"/>
    <n v="0"/>
    <n v="0"/>
    <n v="0"/>
    <n v="0"/>
    <m/>
    <n v="75"/>
  </r>
  <r>
    <x v="801"/>
    <d v="2025-04-04T00:00:00"/>
    <x v="1"/>
    <x v="1"/>
    <x v="1"/>
    <x v="2"/>
    <s v="Basic"/>
    <n v="1"/>
    <n v="1"/>
    <n v="1"/>
    <n v="0"/>
    <n v="0"/>
    <n v="0"/>
    <n v="0"/>
    <m/>
    <n v="43"/>
  </r>
  <r>
    <x v="802"/>
    <d v="2025-03-25T00:00:00"/>
    <x v="1"/>
    <x v="0"/>
    <x v="0"/>
    <x v="4"/>
    <s v="Premium"/>
    <n v="0"/>
    <n v="0"/>
    <n v="0"/>
    <n v="0"/>
    <n v="0"/>
    <n v="0"/>
    <n v="0"/>
    <m/>
    <n v="54.3"/>
  </r>
  <r>
    <x v="803"/>
    <d v="2025-03-19T00:00:00"/>
    <x v="1"/>
    <x v="1"/>
    <x v="1"/>
    <x v="4"/>
    <s v="Free"/>
    <n v="0"/>
    <n v="0"/>
    <n v="0"/>
    <n v="0"/>
    <n v="0"/>
    <n v="2"/>
    <n v="0"/>
    <m/>
    <n v="44.3"/>
  </r>
  <r>
    <x v="804"/>
    <d v="2025-04-24T00:00:00"/>
    <x v="1"/>
    <x v="1"/>
    <x v="0"/>
    <x v="1"/>
    <s v="Free"/>
    <n v="1"/>
    <n v="1"/>
    <n v="1"/>
    <n v="1"/>
    <n v="402.88"/>
    <n v="0"/>
    <n v="0"/>
    <n v="12"/>
    <n v="76"/>
  </r>
  <r>
    <x v="805"/>
    <d v="2025-04-04T00:00:00"/>
    <x v="1"/>
    <x v="3"/>
    <x v="2"/>
    <x v="1"/>
    <s v="Free"/>
    <n v="1"/>
    <n v="0"/>
    <n v="0"/>
    <n v="0"/>
    <n v="0"/>
    <n v="2"/>
    <n v="0"/>
    <m/>
    <n v="65.3"/>
  </r>
  <r>
    <x v="806"/>
    <d v="2025-03-28T00:00:00"/>
    <x v="1"/>
    <x v="3"/>
    <x v="0"/>
    <x v="2"/>
    <s v="Premium"/>
    <n v="1"/>
    <n v="0"/>
    <n v="0"/>
    <n v="0"/>
    <n v="0"/>
    <n v="0"/>
    <n v="0"/>
    <m/>
    <n v="71.2"/>
  </r>
  <r>
    <x v="807"/>
    <d v="2025-05-15T00:00:00"/>
    <x v="1"/>
    <x v="3"/>
    <x v="2"/>
    <x v="2"/>
    <s v="Free"/>
    <n v="1"/>
    <n v="0"/>
    <n v="0"/>
    <n v="0"/>
    <n v="0"/>
    <n v="0"/>
    <n v="0"/>
    <m/>
    <n v="77.900000000000006"/>
  </r>
  <r>
    <x v="808"/>
    <d v="2025-03-13T00:00:00"/>
    <x v="1"/>
    <x v="1"/>
    <x v="1"/>
    <x v="2"/>
    <s v="Free"/>
    <n v="0"/>
    <n v="0"/>
    <n v="0"/>
    <n v="0"/>
    <n v="0"/>
    <n v="0"/>
    <n v="0"/>
    <m/>
    <n v="48.6"/>
  </r>
  <r>
    <x v="809"/>
    <d v="2025-03-26T00:00:00"/>
    <x v="1"/>
    <x v="0"/>
    <x v="1"/>
    <x v="4"/>
    <s v="Premium"/>
    <n v="1"/>
    <n v="0"/>
    <n v="0"/>
    <n v="0"/>
    <n v="0"/>
    <n v="0"/>
    <n v="0"/>
    <m/>
    <n v="61.9"/>
  </r>
  <r>
    <x v="810"/>
    <d v="2025-01-09T00:00:00"/>
    <x v="1"/>
    <x v="0"/>
    <x v="1"/>
    <x v="4"/>
    <s v="Basic"/>
    <n v="0"/>
    <n v="0"/>
    <n v="0"/>
    <n v="0"/>
    <n v="0"/>
    <n v="1"/>
    <n v="0"/>
    <m/>
    <n v="58.7"/>
  </r>
  <r>
    <x v="811"/>
    <d v="2025-05-06T00:00:00"/>
    <x v="1"/>
    <x v="3"/>
    <x v="0"/>
    <x v="2"/>
    <s v="Free"/>
    <n v="1"/>
    <n v="0"/>
    <n v="0"/>
    <n v="0"/>
    <n v="0"/>
    <n v="0"/>
    <n v="0"/>
    <m/>
    <n v="69.599999999999994"/>
  </r>
  <r>
    <x v="812"/>
    <d v="2025-02-17T00:00:00"/>
    <x v="1"/>
    <x v="3"/>
    <x v="1"/>
    <x v="1"/>
    <s v="Free"/>
    <n v="1"/>
    <n v="0"/>
    <n v="0"/>
    <n v="0"/>
    <n v="0"/>
    <n v="0"/>
    <n v="0"/>
    <m/>
    <n v="51.5"/>
  </r>
  <r>
    <x v="813"/>
    <d v="2025-04-05T00:00:00"/>
    <x v="1"/>
    <x v="2"/>
    <x v="1"/>
    <x v="2"/>
    <s v="Free"/>
    <n v="1"/>
    <n v="1"/>
    <n v="1"/>
    <n v="1"/>
    <n v="277.69"/>
    <n v="3"/>
    <n v="0"/>
    <n v="8"/>
    <n v="46"/>
  </r>
  <r>
    <x v="814"/>
    <d v="2025-04-13T00:00:00"/>
    <x v="1"/>
    <x v="1"/>
    <x v="2"/>
    <x v="1"/>
    <s v="Free"/>
    <n v="1"/>
    <n v="0"/>
    <n v="0"/>
    <n v="0"/>
    <n v="0"/>
    <n v="0"/>
    <n v="0"/>
    <m/>
    <n v="81.7"/>
  </r>
  <r>
    <x v="815"/>
    <d v="2025-05-20T00:00:00"/>
    <x v="1"/>
    <x v="2"/>
    <x v="0"/>
    <x v="3"/>
    <s v="Free"/>
    <n v="1"/>
    <n v="0"/>
    <n v="0"/>
    <n v="0"/>
    <n v="0"/>
    <n v="0"/>
    <n v="0"/>
    <m/>
    <n v="48.3"/>
  </r>
  <r>
    <x v="816"/>
    <d v="2025-03-31T00:00:00"/>
    <x v="1"/>
    <x v="2"/>
    <x v="1"/>
    <x v="0"/>
    <s v="Free"/>
    <n v="1"/>
    <n v="1"/>
    <n v="0"/>
    <n v="0"/>
    <n v="0"/>
    <n v="0"/>
    <n v="0"/>
    <m/>
    <n v="85.6"/>
  </r>
  <r>
    <x v="817"/>
    <d v="2025-04-03T00:00:00"/>
    <x v="1"/>
    <x v="1"/>
    <x v="2"/>
    <x v="2"/>
    <s v="Basic"/>
    <n v="1"/>
    <n v="0"/>
    <n v="0"/>
    <n v="0"/>
    <n v="0"/>
    <n v="0"/>
    <n v="0"/>
    <m/>
    <n v="53.8"/>
  </r>
  <r>
    <x v="818"/>
    <d v="2025-02-04T00:00:00"/>
    <x v="1"/>
    <x v="3"/>
    <x v="1"/>
    <x v="1"/>
    <s v="Free"/>
    <n v="1"/>
    <n v="1"/>
    <n v="1"/>
    <n v="1"/>
    <n v="460.83"/>
    <n v="2"/>
    <n v="0"/>
    <n v="0"/>
    <n v="69.7"/>
  </r>
  <r>
    <x v="819"/>
    <d v="2025-05-19T00:00:00"/>
    <x v="1"/>
    <x v="2"/>
    <x v="1"/>
    <x v="1"/>
    <s v="Free"/>
    <n v="1"/>
    <n v="0"/>
    <n v="0"/>
    <n v="0"/>
    <n v="0"/>
    <n v="0"/>
    <n v="0"/>
    <m/>
    <n v="74.8"/>
  </r>
  <r>
    <x v="820"/>
    <d v="2025-03-08T00:00:00"/>
    <x v="1"/>
    <x v="2"/>
    <x v="0"/>
    <x v="2"/>
    <s v="Basic"/>
    <n v="0"/>
    <n v="0"/>
    <n v="0"/>
    <n v="0"/>
    <n v="0"/>
    <n v="0"/>
    <n v="0"/>
    <m/>
    <n v="87.9"/>
  </r>
  <r>
    <x v="821"/>
    <d v="2025-05-10T00:00:00"/>
    <x v="1"/>
    <x v="0"/>
    <x v="1"/>
    <x v="4"/>
    <s v="Basic"/>
    <n v="1"/>
    <n v="0"/>
    <n v="0"/>
    <n v="0"/>
    <n v="0"/>
    <n v="1"/>
    <n v="0"/>
    <m/>
    <n v="49.1"/>
  </r>
  <r>
    <x v="822"/>
    <d v="2025-01-02T00:00:00"/>
    <x v="1"/>
    <x v="2"/>
    <x v="0"/>
    <x v="4"/>
    <s v="Basic"/>
    <n v="1"/>
    <n v="0"/>
    <n v="0"/>
    <n v="0"/>
    <n v="0"/>
    <n v="2"/>
    <n v="0"/>
    <m/>
    <n v="73"/>
  </r>
  <r>
    <x v="823"/>
    <d v="2025-01-17T00:00:00"/>
    <x v="1"/>
    <x v="1"/>
    <x v="1"/>
    <x v="1"/>
    <s v="Basic"/>
    <n v="0"/>
    <n v="0"/>
    <n v="0"/>
    <n v="0"/>
    <n v="0"/>
    <n v="0"/>
    <n v="0"/>
    <m/>
    <n v="79.5"/>
  </r>
  <r>
    <x v="824"/>
    <d v="2025-05-21T00:00:00"/>
    <x v="1"/>
    <x v="1"/>
    <x v="1"/>
    <x v="3"/>
    <s v="Basic"/>
    <n v="1"/>
    <n v="1"/>
    <n v="1"/>
    <n v="1"/>
    <n v="782.23"/>
    <n v="1"/>
    <n v="0"/>
    <n v="6"/>
    <n v="93.2"/>
  </r>
  <r>
    <x v="825"/>
    <d v="2025-05-25T00:00:00"/>
    <x v="1"/>
    <x v="2"/>
    <x v="0"/>
    <x v="3"/>
    <s v="Free"/>
    <n v="1"/>
    <n v="0"/>
    <n v="0"/>
    <n v="0"/>
    <n v="0"/>
    <n v="3"/>
    <n v="0"/>
    <m/>
    <n v="77.5"/>
  </r>
  <r>
    <x v="826"/>
    <d v="2025-01-05T00:00:00"/>
    <x v="1"/>
    <x v="1"/>
    <x v="1"/>
    <x v="0"/>
    <s v="Basic"/>
    <n v="1"/>
    <n v="0"/>
    <n v="0"/>
    <n v="0"/>
    <n v="0"/>
    <n v="0"/>
    <n v="0"/>
    <m/>
    <n v="61"/>
  </r>
  <r>
    <x v="827"/>
    <d v="2025-02-24T00:00:00"/>
    <x v="1"/>
    <x v="3"/>
    <x v="0"/>
    <x v="1"/>
    <s v="Free"/>
    <n v="1"/>
    <n v="1"/>
    <n v="0"/>
    <n v="0"/>
    <n v="0"/>
    <n v="0"/>
    <n v="0"/>
    <m/>
    <n v="64.900000000000006"/>
  </r>
  <r>
    <x v="828"/>
    <d v="2025-01-21T00:00:00"/>
    <x v="1"/>
    <x v="2"/>
    <x v="1"/>
    <x v="2"/>
    <s v="Basic"/>
    <n v="1"/>
    <n v="0"/>
    <n v="0"/>
    <n v="0"/>
    <n v="0"/>
    <n v="0"/>
    <n v="0"/>
    <m/>
    <n v="87.5"/>
  </r>
  <r>
    <x v="829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x v="830"/>
    <d v="2025-01-07T00:00:00"/>
    <x v="1"/>
    <x v="1"/>
    <x v="0"/>
    <x v="1"/>
    <s v="Free"/>
    <n v="1"/>
    <n v="0"/>
    <n v="0"/>
    <n v="0"/>
    <n v="0"/>
    <n v="0"/>
    <n v="0"/>
    <m/>
    <n v="66.900000000000006"/>
  </r>
  <r>
    <x v="831"/>
    <d v="2025-05-31T00:00:00"/>
    <x v="1"/>
    <x v="3"/>
    <x v="2"/>
    <x v="1"/>
    <s v="Basic"/>
    <n v="1"/>
    <n v="1"/>
    <n v="1"/>
    <n v="0"/>
    <n v="0"/>
    <n v="0"/>
    <n v="0"/>
    <m/>
    <n v="58.8"/>
  </r>
  <r>
    <x v="832"/>
    <d v="2025-04-02T00:00:00"/>
    <x v="1"/>
    <x v="0"/>
    <x v="0"/>
    <x v="1"/>
    <s v="Basic"/>
    <n v="1"/>
    <n v="1"/>
    <n v="1"/>
    <n v="1"/>
    <n v="1010.4"/>
    <n v="0"/>
    <n v="0"/>
    <n v="4"/>
    <n v="42.9"/>
  </r>
  <r>
    <x v="833"/>
    <d v="2025-04-21T00:00:00"/>
    <x v="1"/>
    <x v="2"/>
    <x v="1"/>
    <x v="1"/>
    <s v="Free"/>
    <n v="1"/>
    <n v="1"/>
    <n v="1"/>
    <n v="0"/>
    <n v="0"/>
    <n v="1"/>
    <n v="0"/>
    <m/>
    <n v="60.2"/>
  </r>
  <r>
    <x v="834"/>
    <d v="2025-05-05T00:00:00"/>
    <x v="1"/>
    <x v="2"/>
    <x v="1"/>
    <x v="2"/>
    <s v="Basic"/>
    <n v="1"/>
    <n v="0"/>
    <n v="0"/>
    <n v="0"/>
    <n v="0"/>
    <n v="0"/>
    <n v="0"/>
    <m/>
    <n v="42.7"/>
  </r>
  <r>
    <x v="835"/>
    <d v="2025-01-06T00:00:00"/>
    <x v="1"/>
    <x v="0"/>
    <x v="0"/>
    <x v="4"/>
    <s v="Free"/>
    <n v="1"/>
    <n v="1"/>
    <n v="1"/>
    <n v="1"/>
    <n v="431.27"/>
    <n v="0"/>
    <n v="0"/>
    <n v="7"/>
    <n v="60.8"/>
  </r>
  <r>
    <x v="836"/>
    <d v="2025-04-24T00:00:00"/>
    <x v="1"/>
    <x v="3"/>
    <x v="1"/>
    <x v="3"/>
    <s v="Free"/>
    <n v="1"/>
    <n v="1"/>
    <n v="1"/>
    <n v="1"/>
    <n v="428.8"/>
    <n v="0"/>
    <n v="0"/>
    <n v="9"/>
    <n v="79.3"/>
  </r>
  <r>
    <x v="837"/>
    <d v="2025-04-21T00:00:00"/>
    <x v="1"/>
    <x v="3"/>
    <x v="1"/>
    <x v="1"/>
    <s v="Basic"/>
    <n v="1"/>
    <n v="0"/>
    <n v="0"/>
    <n v="0"/>
    <n v="0"/>
    <n v="1"/>
    <n v="0"/>
    <m/>
    <n v="88.6"/>
  </r>
  <r>
    <x v="838"/>
    <d v="2025-02-09T00:00:00"/>
    <x v="1"/>
    <x v="1"/>
    <x v="1"/>
    <x v="1"/>
    <s v="Basic"/>
    <n v="1"/>
    <n v="1"/>
    <n v="1"/>
    <n v="0"/>
    <n v="0"/>
    <n v="0"/>
    <n v="0"/>
    <m/>
    <n v="63.1"/>
  </r>
  <r>
    <x v="839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x v="840"/>
    <d v="2025-02-16T00:00:00"/>
    <x v="1"/>
    <x v="0"/>
    <x v="1"/>
    <x v="2"/>
    <s v="Basic"/>
    <n v="0"/>
    <n v="0"/>
    <n v="0"/>
    <n v="0"/>
    <n v="0"/>
    <n v="0"/>
    <n v="0"/>
    <m/>
    <n v="67.2"/>
  </r>
  <r>
    <x v="841"/>
    <d v="2025-02-21T00:00:00"/>
    <x v="1"/>
    <x v="3"/>
    <x v="1"/>
    <x v="1"/>
    <s v="Free"/>
    <n v="1"/>
    <n v="1"/>
    <n v="1"/>
    <n v="0"/>
    <n v="0"/>
    <n v="0"/>
    <n v="0"/>
    <m/>
    <n v="62.3"/>
  </r>
  <r>
    <x v="842"/>
    <d v="2025-02-08T00:00:00"/>
    <x v="1"/>
    <x v="3"/>
    <x v="1"/>
    <x v="1"/>
    <s v="Premium"/>
    <n v="1"/>
    <n v="0"/>
    <n v="0"/>
    <n v="0"/>
    <n v="0"/>
    <n v="0"/>
    <n v="0"/>
    <m/>
    <m/>
  </r>
  <r>
    <x v="843"/>
    <d v="2025-01-22T00:00:00"/>
    <x v="1"/>
    <x v="3"/>
    <x v="1"/>
    <x v="2"/>
    <s v="Premium"/>
    <n v="0"/>
    <n v="0"/>
    <n v="0"/>
    <n v="0"/>
    <n v="0"/>
    <n v="0"/>
    <n v="0"/>
    <m/>
    <n v="60.7"/>
  </r>
  <r>
    <x v="844"/>
    <d v="2025-04-01T00:00:00"/>
    <x v="1"/>
    <x v="1"/>
    <x v="1"/>
    <x v="1"/>
    <s v="Basic"/>
    <n v="1"/>
    <n v="0"/>
    <n v="0"/>
    <n v="0"/>
    <n v="0"/>
    <n v="0"/>
    <n v="0"/>
    <m/>
    <n v="61.5"/>
  </r>
  <r>
    <x v="845"/>
    <d v="2025-01-21T00:00:00"/>
    <x v="1"/>
    <x v="0"/>
    <x v="1"/>
    <x v="2"/>
    <s v="Basic"/>
    <n v="1"/>
    <n v="0"/>
    <n v="0"/>
    <n v="0"/>
    <n v="0"/>
    <n v="0"/>
    <n v="0"/>
    <m/>
    <n v="75"/>
  </r>
  <r>
    <x v="846"/>
    <d v="2025-01-02T00:00:00"/>
    <x v="1"/>
    <x v="2"/>
    <x v="0"/>
    <x v="1"/>
    <s v="Free"/>
    <n v="1"/>
    <n v="1"/>
    <n v="0"/>
    <n v="0"/>
    <n v="0"/>
    <n v="0"/>
    <n v="0"/>
    <m/>
    <n v="51.9"/>
  </r>
  <r>
    <x v="847"/>
    <d v="2025-05-12T00:00:00"/>
    <x v="1"/>
    <x v="3"/>
    <x v="0"/>
    <x v="2"/>
    <s v="Free"/>
    <n v="0"/>
    <n v="0"/>
    <n v="0"/>
    <n v="0"/>
    <n v="0"/>
    <n v="0"/>
    <n v="0"/>
    <m/>
    <n v="34.5"/>
  </r>
  <r>
    <x v="848"/>
    <d v="2025-03-05T00:00:00"/>
    <x v="1"/>
    <x v="3"/>
    <x v="1"/>
    <x v="4"/>
    <s v="Basic"/>
    <n v="0"/>
    <n v="0"/>
    <n v="0"/>
    <n v="0"/>
    <n v="0"/>
    <n v="0"/>
    <n v="0"/>
    <m/>
    <n v="54.5"/>
  </r>
  <r>
    <x v="849"/>
    <d v="2025-01-24T00:00:00"/>
    <x v="1"/>
    <x v="2"/>
    <x v="1"/>
    <x v="1"/>
    <s v="Free"/>
    <n v="0"/>
    <n v="0"/>
    <n v="0"/>
    <n v="0"/>
    <n v="0"/>
    <n v="0"/>
    <n v="0"/>
    <m/>
    <n v="46"/>
  </r>
  <r>
    <x v="850"/>
    <d v="2025-01-31T00:00:00"/>
    <x v="1"/>
    <x v="2"/>
    <x v="0"/>
    <x v="0"/>
    <s v="Free"/>
    <n v="1"/>
    <n v="1"/>
    <n v="1"/>
    <n v="0"/>
    <n v="0"/>
    <n v="0"/>
    <n v="0"/>
    <m/>
    <n v="88.4"/>
  </r>
  <r>
    <x v="851"/>
    <d v="2025-01-24T00:00:00"/>
    <x v="1"/>
    <x v="0"/>
    <x v="2"/>
    <x v="1"/>
    <s v="Basic"/>
    <n v="1"/>
    <n v="0"/>
    <n v="0"/>
    <n v="0"/>
    <n v="0"/>
    <n v="0"/>
    <n v="0"/>
    <m/>
    <n v="69.5"/>
  </r>
  <r>
    <x v="852"/>
    <d v="2025-02-14T00:00:00"/>
    <x v="1"/>
    <x v="0"/>
    <x v="0"/>
    <x v="3"/>
    <s v="Basic"/>
    <n v="1"/>
    <n v="1"/>
    <n v="1"/>
    <n v="0"/>
    <n v="0"/>
    <n v="0"/>
    <n v="0"/>
    <m/>
    <n v="74.2"/>
  </r>
  <r>
    <x v="853"/>
    <d v="2025-05-27T00:00:00"/>
    <x v="1"/>
    <x v="0"/>
    <x v="1"/>
    <x v="1"/>
    <s v="Free"/>
    <n v="1"/>
    <n v="1"/>
    <n v="1"/>
    <n v="0"/>
    <n v="0"/>
    <n v="0"/>
    <n v="0"/>
    <m/>
    <n v="72.099999999999994"/>
  </r>
  <r>
    <x v="854"/>
    <d v="2025-02-28T00:00:00"/>
    <x v="1"/>
    <x v="0"/>
    <x v="1"/>
    <x v="2"/>
    <s v="Free"/>
    <n v="1"/>
    <n v="1"/>
    <n v="1"/>
    <n v="1"/>
    <n v="398.33"/>
    <n v="0"/>
    <n v="0"/>
    <n v="5"/>
    <n v="85.1"/>
  </r>
  <r>
    <x v="855"/>
    <d v="2025-05-27T00:00:00"/>
    <x v="1"/>
    <x v="0"/>
    <x v="1"/>
    <x v="1"/>
    <s v="Basic"/>
    <n v="1"/>
    <n v="1"/>
    <n v="1"/>
    <n v="0"/>
    <n v="0"/>
    <n v="0"/>
    <n v="0"/>
    <m/>
    <n v="49.5"/>
  </r>
  <r>
    <x v="856"/>
    <d v="2025-05-17T00:00:00"/>
    <x v="1"/>
    <x v="3"/>
    <x v="1"/>
    <x v="2"/>
    <s v="Premium"/>
    <n v="0"/>
    <n v="0"/>
    <n v="0"/>
    <n v="0"/>
    <n v="0"/>
    <n v="1"/>
    <n v="0"/>
    <m/>
    <n v="79"/>
  </r>
  <r>
    <x v="857"/>
    <d v="2025-01-10T00:00:00"/>
    <x v="1"/>
    <x v="1"/>
    <x v="0"/>
    <x v="4"/>
    <s v="Free"/>
    <n v="0"/>
    <n v="0"/>
    <n v="0"/>
    <n v="0"/>
    <n v="0"/>
    <n v="0"/>
    <n v="0"/>
    <m/>
    <n v="71.8"/>
  </r>
  <r>
    <x v="858"/>
    <d v="2025-04-22T00:00:00"/>
    <x v="1"/>
    <x v="0"/>
    <x v="1"/>
    <x v="0"/>
    <s v="Basic"/>
    <n v="1"/>
    <n v="1"/>
    <n v="1"/>
    <n v="1"/>
    <n v="1117.54"/>
    <n v="0"/>
    <n v="0"/>
    <n v="6"/>
    <n v="60.4"/>
  </r>
  <r>
    <x v="859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x v="860"/>
    <d v="2025-03-23T00:00:00"/>
    <x v="1"/>
    <x v="2"/>
    <x v="1"/>
    <x v="2"/>
    <s v="Free"/>
    <n v="1"/>
    <n v="1"/>
    <n v="1"/>
    <n v="0"/>
    <n v="0"/>
    <n v="0"/>
    <n v="0"/>
    <m/>
    <n v="79.599999999999994"/>
  </r>
  <r>
    <x v="861"/>
    <d v="2025-02-12T00:00:00"/>
    <x v="1"/>
    <x v="2"/>
    <x v="1"/>
    <x v="0"/>
    <s v="Free"/>
    <n v="1"/>
    <n v="1"/>
    <n v="1"/>
    <n v="0"/>
    <n v="0"/>
    <n v="0"/>
    <n v="0"/>
    <m/>
    <n v="71.900000000000006"/>
  </r>
  <r>
    <x v="862"/>
    <d v="2025-05-03T00:00:00"/>
    <x v="1"/>
    <x v="3"/>
    <x v="1"/>
    <x v="3"/>
    <s v="Basic"/>
    <n v="1"/>
    <n v="0"/>
    <n v="0"/>
    <n v="0"/>
    <n v="0"/>
    <n v="0"/>
    <n v="0"/>
    <m/>
    <n v="54.6"/>
  </r>
  <r>
    <x v="863"/>
    <d v="2025-03-28T00:00:00"/>
    <x v="1"/>
    <x v="0"/>
    <x v="0"/>
    <x v="4"/>
    <s v="Free"/>
    <n v="1"/>
    <n v="0"/>
    <n v="0"/>
    <n v="0"/>
    <n v="0"/>
    <n v="3"/>
    <n v="0"/>
    <m/>
    <n v="49.3"/>
  </r>
  <r>
    <x v="864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x v="865"/>
    <d v="2025-04-27T00:00:00"/>
    <x v="1"/>
    <x v="2"/>
    <x v="1"/>
    <x v="2"/>
    <s v="Free"/>
    <n v="1"/>
    <n v="0"/>
    <n v="0"/>
    <n v="0"/>
    <n v="0"/>
    <n v="1"/>
    <n v="0"/>
    <m/>
    <n v="77.8"/>
  </r>
  <r>
    <x v="866"/>
    <d v="2025-04-02T00:00:00"/>
    <x v="1"/>
    <x v="3"/>
    <x v="1"/>
    <x v="3"/>
    <s v="Basic"/>
    <n v="1"/>
    <n v="0"/>
    <n v="0"/>
    <n v="0"/>
    <n v="0"/>
    <n v="0"/>
    <n v="0"/>
    <m/>
    <n v="63"/>
  </r>
  <r>
    <x v="867"/>
    <d v="2025-04-21T00:00:00"/>
    <x v="1"/>
    <x v="0"/>
    <x v="1"/>
    <x v="4"/>
    <s v="Free"/>
    <n v="0"/>
    <n v="0"/>
    <n v="0"/>
    <n v="0"/>
    <n v="0"/>
    <n v="0"/>
    <n v="0"/>
    <m/>
    <n v="79.8"/>
  </r>
  <r>
    <x v="868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x v="869"/>
    <d v="2025-01-06T00:00:00"/>
    <x v="1"/>
    <x v="1"/>
    <x v="1"/>
    <x v="1"/>
    <s v="Free"/>
    <n v="0"/>
    <n v="0"/>
    <n v="0"/>
    <n v="0"/>
    <n v="0"/>
    <n v="1"/>
    <n v="0"/>
    <m/>
    <n v="66.400000000000006"/>
  </r>
  <r>
    <x v="870"/>
    <d v="2025-02-07T00:00:00"/>
    <x v="1"/>
    <x v="2"/>
    <x v="1"/>
    <x v="1"/>
    <s v="Free"/>
    <n v="1"/>
    <n v="0"/>
    <n v="0"/>
    <n v="0"/>
    <n v="0"/>
    <n v="0"/>
    <n v="0"/>
    <m/>
    <n v="27.6"/>
  </r>
  <r>
    <x v="871"/>
    <d v="2025-05-07T00:00:00"/>
    <x v="1"/>
    <x v="1"/>
    <x v="1"/>
    <x v="1"/>
    <s v="Premium"/>
    <n v="1"/>
    <n v="0"/>
    <n v="0"/>
    <n v="0"/>
    <n v="0"/>
    <n v="1"/>
    <n v="0"/>
    <m/>
    <n v="56.5"/>
  </r>
  <r>
    <x v="872"/>
    <d v="2025-04-22T00:00:00"/>
    <x v="1"/>
    <x v="1"/>
    <x v="3"/>
    <x v="4"/>
    <s v="Free"/>
    <n v="1"/>
    <n v="0"/>
    <n v="0"/>
    <n v="0"/>
    <n v="0"/>
    <n v="0"/>
    <n v="0"/>
    <m/>
    <n v="67.8"/>
  </r>
  <r>
    <x v="873"/>
    <d v="2025-05-04T00:00:00"/>
    <x v="1"/>
    <x v="1"/>
    <x v="0"/>
    <x v="4"/>
    <s v="Free"/>
    <n v="1"/>
    <n v="0"/>
    <n v="0"/>
    <n v="0"/>
    <n v="0"/>
    <n v="0"/>
    <n v="0"/>
    <m/>
    <n v="80"/>
  </r>
  <r>
    <x v="874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x v="875"/>
    <d v="2025-02-11T00:00:00"/>
    <x v="1"/>
    <x v="1"/>
    <x v="1"/>
    <x v="2"/>
    <s v="Free"/>
    <n v="0"/>
    <n v="0"/>
    <n v="0"/>
    <n v="0"/>
    <n v="0"/>
    <n v="0"/>
    <n v="0"/>
    <m/>
    <n v="34.5"/>
  </r>
  <r>
    <x v="876"/>
    <d v="2025-05-09T00:00:00"/>
    <x v="1"/>
    <x v="2"/>
    <x v="0"/>
    <x v="1"/>
    <s v="Premium"/>
    <n v="1"/>
    <n v="0"/>
    <n v="0"/>
    <n v="0"/>
    <n v="0"/>
    <n v="0"/>
    <n v="0"/>
    <m/>
    <n v="73.5"/>
  </r>
  <r>
    <x v="877"/>
    <d v="2025-02-09T00:00:00"/>
    <x v="1"/>
    <x v="3"/>
    <x v="0"/>
    <x v="2"/>
    <s v="Free"/>
    <n v="1"/>
    <n v="1"/>
    <n v="0"/>
    <n v="0"/>
    <n v="0"/>
    <n v="0"/>
    <n v="0"/>
    <m/>
    <n v="70"/>
  </r>
  <r>
    <x v="878"/>
    <d v="2025-05-22T00:00:00"/>
    <x v="1"/>
    <x v="1"/>
    <x v="1"/>
    <x v="4"/>
    <s v="Basic"/>
    <n v="0"/>
    <n v="0"/>
    <n v="0"/>
    <n v="0"/>
    <n v="0"/>
    <n v="0"/>
    <n v="0"/>
    <m/>
    <n v="86.9"/>
  </r>
  <r>
    <x v="879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x v="880"/>
    <d v="2025-04-27T00:00:00"/>
    <x v="1"/>
    <x v="3"/>
    <x v="0"/>
    <x v="4"/>
    <s v="Basic"/>
    <n v="1"/>
    <n v="1"/>
    <n v="1"/>
    <n v="0"/>
    <n v="0"/>
    <n v="0"/>
    <n v="0"/>
    <m/>
    <n v="58.3"/>
  </r>
  <r>
    <x v="881"/>
    <d v="2025-03-19T00:00:00"/>
    <x v="1"/>
    <x v="2"/>
    <x v="1"/>
    <x v="2"/>
    <s v="Free"/>
    <n v="1"/>
    <n v="0"/>
    <n v="0"/>
    <n v="0"/>
    <n v="0"/>
    <n v="0"/>
    <n v="0"/>
    <m/>
    <n v="45"/>
  </r>
  <r>
    <x v="882"/>
    <d v="2025-05-20T00:00:00"/>
    <x v="1"/>
    <x v="3"/>
    <x v="1"/>
    <x v="1"/>
    <s v="Premium"/>
    <n v="0"/>
    <n v="0"/>
    <n v="0"/>
    <n v="0"/>
    <n v="0"/>
    <n v="0"/>
    <n v="0"/>
    <m/>
    <n v="60.8"/>
  </r>
  <r>
    <x v="883"/>
    <d v="2025-05-10T00:00:00"/>
    <x v="1"/>
    <x v="0"/>
    <x v="1"/>
    <x v="0"/>
    <s v="Premium"/>
    <n v="1"/>
    <n v="0"/>
    <n v="0"/>
    <n v="0"/>
    <n v="0"/>
    <n v="4"/>
    <n v="0"/>
    <m/>
    <n v="53.7"/>
  </r>
  <r>
    <x v="884"/>
    <d v="2025-03-29T00:00:00"/>
    <x v="1"/>
    <x v="2"/>
    <x v="1"/>
    <x v="4"/>
    <s v="Free"/>
    <n v="1"/>
    <n v="1"/>
    <n v="1"/>
    <n v="0"/>
    <n v="0"/>
    <n v="0"/>
    <n v="0"/>
    <m/>
    <n v="48.8"/>
  </r>
  <r>
    <x v="885"/>
    <d v="2025-04-03T00:00:00"/>
    <x v="1"/>
    <x v="1"/>
    <x v="0"/>
    <x v="3"/>
    <s v="Basic"/>
    <n v="0"/>
    <n v="0"/>
    <n v="0"/>
    <n v="0"/>
    <n v="0"/>
    <n v="0"/>
    <n v="0"/>
    <m/>
    <n v="52.9"/>
  </r>
  <r>
    <x v="886"/>
    <d v="2025-05-30T00:00:00"/>
    <x v="1"/>
    <x v="3"/>
    <x v="1"/>
    <x v="0"/>
    <s v="Free"/>
    <n v="1"/>
    <n v="0"/>
    <n v="0"/>
    <n v="0"/>
    <n v="0"/>
    <n v="0"/>
    <n v="0"/>
    <m/>
    <n v="42.4"/>
  </r>
  <r>
    <x v="887"/>
    <d v="2025-04-06T00:00:00"/>
    <x v="1"/>
    <x v="2"/>
    <x v="0"/>
    <x v="0"/>
    <s v="Free"/>
    <n v="1"/>
    <n v="0"/>
    <n v="0"/>
    <n v="0"/>
    <n v="0"/>
    <n v="0"/>
    <n v="0"/>
    <m/>
    <n v="58.7"/>
  </r>
  <r>
    <x v="888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x v="889"/>
    <d v="2025-02-24T00:00:00"/>
    <x v="1"/>
    <x v="3"/>
    <x v="0"/>
    <x v="2"/>
    <s v="Basic"/>
    <n v="1"/>
    <n v="0"/>
    <n v="0"/>
    <n v="0"/>
    <n v="0"/>
    <n v="0"/>
    <n v="0"/>
    <m/>
    <n v="62.6"/>
  </r>
  <r>
    <x v="890"/>
    <d v="2025-03-04T00:00:00"/>
    <x v="1"/>
    <x v="1"/>
    <x v="1"/>
    <x v="0"/>
    <s v="Basic"/>
    <n v="1"/>
    <n v="0"/>
    <n v="0"/>
    <n v="0"/>
    <n v="0"/>
    <n v="0"/>
    <n v="0"/>
    <m/>
    <n v="82.4"/>
  </r>
  <r>
    <x v="891"/>
    <d v="2025-04-02T00:00:00"/>
    <x v="1"/>
    <x v="0"/>
    <x v="1"/>
    <x v="1"/>
    <s v="Free"/>
    <n v="1"/>
    <n v="1"/>
    <n v="1"/>
    <n v="0"/>
    <n v="0"/>
    <n v="0"/>
    <n v="0"/>
    <m/>
    <n v="50.4"/>
  </r>
  <r>
    <x v="892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x v="893"/>
    <d v="2025-05-10T00:00:00"/>
    <x v="1"/>
    <x v="1"/>
    <x v="2"/>
    <x v="2"/>
    <s v="Basic"/>
    <n v="1"/>
    <n v="1"/>
    <n v="1"/>
    <n v="0"/>
    <n v="0"/>
    <n v="0"/>
    <n v="0"/>
    <m/>
    <n v="58.8"/>
  </r>
  <r>
    <x v="894"/>
    <d v="2025-05-06T00:00:00"/>
    <x v="1"/>
    <x v="1"/>
    <x v="1"/>
    <x v="3"/>
    <s v="Free"/>
    <n v="1"/>
    <n v="1"/>
    <n v="0"/>
    <n v="0"/>
    <n v="0"/>
    <n v="2"/>
    <n v="0"/>
    <m/>
    <n v="28.3"/>
  </r>
  <r>
    <x v="895"/>
    <d v="2025-02-11T00:00:00"/>
    <x v="1"/>
    <x v="1"/>
    <x v="0"/>
    <x v="2"/>
    <s v="Free"/>
    <n v="1"/>
    <n v="1"/>
    <n v="0"/>
    <n v="0"/>
    <n v="0"/>
    <n v="0"/>
    <n v="0"/>
    <m/>
    <n v="44.1"/>
  </r>
  <r>
    <x v="896"/>
    <d v="2025-05-09T00:00:00"/>
    <x v="1"/>
    <x v="3"/>
    <x v="1"/>
    <x v="2"/>
    <s v="Premium"/>
    <n v="1"/>
    <n v="1"/>
    <n v="0"/>
    <n v="0"/>
    <n v="0"/>
    <n v="0"/>
    <n v="0"/>
    <m/>
    <n v="66.7"/>
  </r>
  <r>
    <x v="897"/>
    <d v="2025-02-02T00:00:00"/>
    <x v="1"/>
    <x v="3"/>
    <x v="1"/>
    <x v="5"/>
    <s v="Free"/>
    <n v="1"/>
    <n v="0"/>
    <n v="0"/>
    <n v="0"/>
    <n v="0"/>
    <n v="0"/>
    <n v="0"/>
    <m/>
    <n v="100"/>
  </r>
  <r>
    <x v="898"/>
    <d v="2025-04-03T00:00:00"/>
    <x v="1"/>
    <x v="3"/>
    <x v="1"/>
    <x v="4"/>
    <s v="Free"/>
    <n v="1"/>
    <n v="1"/>
    <n v="0"/>
    <n v="0"/>
    <n v="0"/>
    <n v="0"/>
    <n v="0"/>
    <m/>
    <n v="87.5"/>
  </r>
  <r>
    <x v="899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x v="900"/>
    <d v="2025-04-18T00:00:00"/>
    <x v="1"/>
    <x v="3"/>
    <x v="0"/>
    <x v="1"/>
    <s v="Free"/>
    <n v="1"/>
    <n v="0"/>
    <n v="0"/>
    <n v="0"/>
    <n v="0"/>
    <n v="0"/>
    <n v="0"/>
    <m/>
    <n v="22.9"/>
  </r>
  <r>
    <x v="901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x v="902"/>
    <d v="2025-03-29T00:00:00"/>
    <x v="1"/>
    <x v="3"/>
    <x v="1"/>
    <x v="3"/>
    <s v="Free"/>
    <n v="1"/>
    <n v="0"/>
    <n v="0"/>
    <n v="0"/>
    <n v="0"/>
    <n v="2"/>
    <n v="0"/>
    <m/>
    <n v="54.4"/>
  </r>
  <r>
    <x v="903"/>
    <d v="2025-02-13T00:00:00"/>
    <x v="1"/>
    <x v="0"/>
    <x v="0"/>
    <x v="1"/>
    <s v="Free"/>
    <n v="1"/>
    <n v="1"/>
    <n v="1"/>
    <n v="0"/>
    <n v="0"/>
    <n v="0"/>
    <n v="0"/>
    <m/>
    <n v="56.8"/>
  </r>
  <r>
    <x v="904"/>
    <d v="2025-01-23T00:00:00"/>
    <x v="1"/>
    <x v="3"/>
    <x v="1"/>
    <x v="2"/>
    <s v="Free"/>
    <n v="1"/>
    <n v="1"/>
    <n v="1"/>
    <n v="1"/>
    <n v="341.38"/>
    <n v="0"/>
    <n v="0"/>
    <n v="2"/>
    <n v="63.6"/>
  </r>
  <r>
    <x v="905"/>
    <d v="2025-02-24T00:00:00"/>
    <x v="1"/>
    <x v="2"/>
    <x v="1"/>
    <x v="4"/>
    <s v="Free"/>
    <n v="1"/>
    <n v="0"/>
    <n v="0"/>
    <n v="0"/>
    <n v="0"/>
    <n v="0"/>
    <n v="0"/>
    <m/>
    <n v="58.2"/>
  </r>
  <r>
    <x v="906"/>
    <d v="2025-02-28T00:00:00"/>
    <x v="1"/>
    <x v="1"/>
    <x v="1"/>
    <x v="2"/>
    <s v="Free"/>
    <n v="1"/>
    <n v="1"/>
    <n v="0"/>
    <n v="0"/>
    <n v="0"/>
    <n v="0"/>
    <n v="0"/>
    <m/>
    <n v="54.6"/>
  </r>
  <r>
    <x v="907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x v="908"/>
    <d v="2025-03-21T00:00:00"/>
    <x v="1"/>
    <x v="1"/>
    <x v="0"/>
    <x v="0"/>
    <s v="Free"/>
    <n v="1"/>
    <n v="0"/>
    <n v="0"/>
    <n v="0"/>
    <n v="0"/>
    <n v="3"/>
    <n v="0"/>
    <m/>
    <n v="53.3"/>
  </r>
  <r>
    <x v="909"/>
    <d v="2025-02-18T00:00:00"/>
    <x v="1"/>
    <x v="0"/>
    <x v="0"/>
    <x v="1"/>
    <s v="Basic"/>
    <n v="0"/>
    <n v="0"/>
    <n v="0"/>
    <n v="0"/>
    <n v="0"/>
    <n v="0"/>
    <n v="0"/>
    <m/>
    <n v="54.2"/>
  </r>
  <r>
    <x v="910"/>
    <d v="2025-01-05T00:00:00"/>
    <x v="1"/>
    <x v="0"/>
    <x v="1"/>
    <x v="2"/>
    <s v="Free"/>
    <n v="1"/>
    <n v="1"/>
    <n v="0"/>
    <n v="0"/>
    <n v="0"/>
    <n v="0"/>
    <n v="0"/>
    <m/>
    <n v="65.599999999999994"/>
  </r>
  <r>
    <x v="911"/>
    <d v="2025-03-11T00:00:00"/>
    <x v="1"/>
    <x v="2"/>
    <x v="0"/>
    <x v="1"/>
    <s v="Basic"/>
    <n v="1"/>
    <n v="0"/>
    <n v="0"/>
    <n v="0"/>
    <n v="0"/>
    <n v="1"/>
    <n v="0"/>
    <m/>
    <n v="56.5"/>
  </r>
  <r>
    <x v="912"/>
    <d v="2025-01-09T00:00:00"/>
    <x v="1"/>
    <x v="0"/>
    <x v="0"/>
    <x v="1"/>
    <s v="Basic"/>
    <n v="1"/>
    <n v="0"/>
    <n v="0"/>
    <n v="0"/>
    <n v="0"/>
    <n v="0"/>
    <n v="0"/>
    <m/>
    <n v="59.7"/>
  </r>
  <r>
    <x v="913"/>
    <d v="2025-01-08T00:00:00"/>
    <x v="1"/>
    <x v="3"/>
    <x v="1"/>
    <x v="1"/>
    <s v="Free"/>
    <n v="1"/>
    <n v="1"/>
    <n v="1"/>
    <n v="0"/>
    <n v="0"/>
    <n v="0"/>
    <n v="0"/>
    <m/>
    <n v="72.5"/>
  </r>
  <r>
    <x v="914"/>
    <d v="2025-05-01T00:00:00"/>
    <x v="1"/>
    <x v="2"/>
    <x v="0"/>
    <x v="2"/>
    <s v="Free"/>
    <n v="1"/>
    <n v="0"/>
    <n v="0"/>
    <n v="0"/>
    <n v="0"/>
    <n v="0"/>
    <n v="0"/>
    <m/>
    <n v="64.3"/>
  </r>
  <r>
    <x v="915"/>
    <d v="2025-03-03T00:00:00"/>
    <x v="1"/>
    <x v="3"/>
    <x v="1"/>
    <x v="4"/>
    <s v="Free"/>
    <n v="1"/>
    <n v="0"/>
    <n v="0"/>
    <n v="0"/>
    <n v="0"/>
    <n v="0"/>
    <n v="0"/>
    <m/>
    <n v="64.5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917"/>
    <d v="2025-02-17T00:00:00"/>
    <x v="1"/>
    <x v="3"/>
    <x v="0"/>
    <x v="1"/>
    <s v="Basic"/>
    <n v="0"/>
    <n v="0"/>
    <n v="0"/>
    <n v="0"/>
    <n v="0"/>
    <n v="0"/>
    <n v="0"/>
    <m/>
    <n v="58.4"/>
  </r>
  <r>
    <x v="918"/>
    <d v="2025-05-21T00:00:00"/>
    <x v="1"/>
    <x v="2"/>
    <x v="1"/>
    <x v="1"/>
    <s v="Basic"/>
    <n v="1"/>
    <n v="0"/>
    <n v="0"/>
    <n v="0"/>
    <n v="0"/>
    <n v="0"/>
    <n v="0"/>
    <m/>
    <n v="56.6"/>
  </r>
  <r>
    <x v="919"/>
    <d v="2025-01-30T00:00:00"/>
    <x v="1"/>
    <x v="3"/>
    <x v="1"/>
    <x v="1"/>
    <s v="Free"/>
    <n v="1"/>
    <n v="0"/>
    <n v="0"/>
    <n v="0"/>
    <n v="0"/>
    <n v="0"/>
    <n v="0"/>
    <m/>
    <n v="61.8"/>
  </r>
  <r>
    <x v="920"/>
    <d v="2025-03-20T00:00:00"/>
    <x v="1"/>
    <x v="1"/>
    <x v="1"/>
    <x v="0"/>
    <s v="Free"/>
    <n v="1"/>
    <n v="1"/>
    <n v="1"/>
    <n v="1"/>
    <n v="513.52"/>
    <n v="0"/>
    <n v="0"/>
    <n v="8"/>
    <n v="43.4"/>
  </r>
  <r>
    <x v="921"/>
    <d v="2025-04-10T00:00:00"/>
    <x v="1"/>
    <x v="1"/>
    <x v="2"/>
    <x v="2"/>
    <s v="Free"/>
    <n v="0"/>
    <n v="0"/>
    <n v="0"/>
    <n v="0"/>
    <n v="0"/>
    <n v="0"/>
    <n v="0"/>
    <m/>
    <n v="43"/>
  </r>
  <r>
    <x v="922"/>
    <d v="2025-03-07T00:00:00"/>
    <x v="1"/>
    <x v="0"/>
    <x v="0"/>
    <x v="1"/>
    <s v="Free"/>
    <n v="1"/>
    <n v="1"/>
    <n v="1"/>
    <n v="0"/>
    <n v="0"/>
    <n v="0"/>
    <n v="0"/>
    <m/>
    <n v="51.1"/>
  </r>
  <r>
    <x v="923"/>
    <d v="2025-03-12T00:00:00"/>
    <x v="1"/>
    <x v="1"/>
    <x v="1"/>
    <x v="0"/>
    <s v="Basic"/>
    <n v="1"/>
    <n v="0"/>
    <n v="0"/>
    <n v="0"/>
    <n v="0"/>
    <n v="0"/>
    <n v="0"/>
    <m/>
    <n v="48.8"/>
  </r>
  <r>
    <x v="924"/>
    <d v="2025-02-24T00:00:00"/>
    <x v="1"/>
    <x v="2"/>
    <x v="1"/>
    <x v="3"/>
    <s v="Free"/>
    <n v="0"/>
    <n v="0"/>
    <n v="0"/>
    <n v="0"/>
    <n v="0"/>
    <n v="0"/>
    <n v="0"/>
    <m/>
    <n v="73.2"/>
  </r>
  <r>
    <x v="925"/>
    <d v="2025-01-15T00:00:00"/>
    <x v="1"/>
    <x v="2"/>
    <x v="1"/>
    <x v="3"/>
    <s v="Free"/>
    <n v="1"/>
    <n v="1"/>
    <n v="1"/>
    <n v="0"/>
    <n v="0"/>
    <n v="0"/>
    <n v="0"/>
    <m/>
    <n v="80"/>
  </r>
  <r>
    <x v="926"/>
    <d v="2025-01-07T00:00:00"/>
    <x v="1"/>
    <x v="0"/>
    <x v="0"/>
    <x v="2"/>
    <s v="Free"/>
    <n v="1"/>
    <n v="0"/>
    <n v="0"/>
    <n v="0"/>
    <n v="0"/>
    <n v="0"/>
    <n v="0"/>
    <m/>
    <n v="52.3"/>
  </r>
  <r>
    <x v="927"/>
    <d v="2025-03-02T00:00:00"/>
    <x v="1"/>
    <x v="0"/>
    <x v="0"/>
    <x v="1"/>
    <s v="Free"/>
    <n v="0"/>
    <n v="0"/>
    <n v="0"/>
    <n v="0"/>
    <n v="0"/>
    <n v="0"/>
    <n v="0"/>
    <m/>
    <n v="49.1"/>
  </r>
  <r>
    <x v="928"/>
    <d v="2025-01-05T00:00:00"/>
    <x v="1"/>
    <x v="3"/>
    <x v="0"/>
    <x v="3"/>
    <s v="Basic"/>
    <n v="0"/>
    <n v="0"/>
    <n v="0"/>
    <n v="0"/>
    <n v="0"/>
    <n v="0"/>
    <n v="0"/>
    <m/>
    <n v="45.3"/>
  </r>
  <r>
    <x v="929"/>
    <d v="2025-03-03T00:00:00"/>
    <x v="1"/>
    <x v="3"/>
    <x v="1"/>
    <x v="1"/>
    <s v="Free"/>
    <n v="1"/>
    <n v="1"/>
    <n v="0"/>
    <n v="0"/>
    <n v="0"/>
    <n v="0"/>
    <n v="0"/>
    <m/>
    <n v="49.1"/>
  </r>
  <r>
    <x v="930"/>
    <d v="2025-03-31T00:00:00"/>
    <x v="1"/>
    <x v="2"/>
    <x v="0"/>
    <x v="3"/>
    <s v="Free"/>
    <n v="1"/>
    <n v="1"/>
    <n v="1"/>
    <n v="1"/>
    <n v="476.44"/>
    <n v="0"/>
    <n v="0"/>
    <n v="3"/>
    <n v="88.6"/>
  </r>
  <r>
    <x v="931"/>
    <d v="2025-01-14T00:00:00"/>
    <x v="1"/>
    <x v="2"/>
    <x v="0"/>
    <x v="2"/>
    <s v="Premium"/>
    <n v="0"/>
    <n v="0"/>
    <n v="0"/>
    <n v="0"/>
    <n v="0"/>
    <n v="1"/>
    <n v="0"/>
    <m/>
    <n v="54.4"/>
  </r>
  <r>
    <x v="932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x v="933"/>
    <d v="2025-04-25T00:00:00"/>
    <x v="1"/>
    <x v="1"/>
    <x v="0"/>
    <x v="1"/>
    <s v="Free"/>
    <n v="1"/>
    <n v="0"/>
    <n v="0"/>
    <n v="0"/>
    <n v="0"/>
    <n v="0"/>
    <n v="0"/>
    <m/>
    <n v="53.2"/>
  </r>
  <r>
    <x v="934"/>
    <d v="2025-03-21T00:00:00"/>
    <x v="1"/>
    <x v="2"/>
    <x v="1"/>
    <x v="1"/>
    <s v="Basic"/>
    <n v="1"/>
    <n v="1"/>
    <n v="0"/>
    <n v="0"/>
    <n v="0"/>
    <n v="0"/>
    <n v="0"/>
    <m/>
    <n v="48.7"/>
  </r>
  <r>
    <x v="935"/>
    <d v="2025-04-26T00:00:00"/>
    <x v="1"/>
    <x v="3"/>
    <x v="1"/>
    <x v="2"/>
    <s v="Basic"/>
    <n v="1"/>
    <n v="1"/>
    <n v="1"/>
    <n v="0"/>
    <n v="0"/>
    <n v="0"/>
    <n v="0"/>
    <m/>
    <n v="59.9"/>
  </r>
  <r>
    <x v="936"/>
    <d v="2025-05-21T00:00:00"/>
    <x v="1"/>
    <x v="3"/>
    <x v="0"/>
    <x v="5"/>
    <s v="Basic"/>
    <n v="0"/>
    <n v="0"/>
    <n v="0"/>
    <n v="0"/>
    <n v="0"/>
    <n v="0"/>
    <n v="0"/>
    <m/>
    <n v="82"/>
  </r>
  <r>
    <x v="937"/>
    <d v="2025-04-18T00:00:00"/>
    <x v="1"/>
    <x v="2"/>
    <x v="1"/>
    <x v="2"/>
    <s v="Free"/>
    <n v="0"/>
    <n v="0"/>
    <n v="0"/>
    <n v="0"/>
    <n v="0"/>
    <n v="0"/>
    <n v="0"/>
    <m/>
    <n v="72.099999999999994"/>
  </r>
  <r>
    <x v="938"/>
    <d v="2025-01-29T00:00:00"/>
    <x v="1"/>
    <x v="0"/>
    <x v="0"/>
    <x v="0"/>
    <s v="Premium"/>
    <n v="1"/>
    <n v="1"/>
    <n v="0"/>
    <n v="0"/>
    <n v="0"/>
    <n v="0"/>
    <n v="0"/>
    <m/>
    <n v="68.3"/>
  </r>
  <r>
    <x v="939"/>
    <d v="2025-05-28T00:00:00"/>
    <x v="1"/>
    <x v="1"/>
    <x v="1"/>
    <x v="1"/>
    <s v="Premium"/>
    <n v="0"/>
    <n v="0"/>
    <n v="0"/>
    <n v="0"/>
    <n v="0"/>
    <n v="0"/>
    <n v="0"/>
    <m/>
    <n v="100"/>
  </r>
  <r>
    <x v="940"/>
    <d v="2025-01-15T00:00:00"/>
    <x v="1"/>
    <x v="2"/>
    <x v="1"/>
    <x v="0"/>
    <s v="Free"/>
    <n v="1"/>
    <n v="1"/>
    <n v="1"/>
    <n v="0"/>
    <n v="0"/>
    <n v="2"/>
    <n v="0"/>
    <m/>
    <n v="76.5"/>
  </r>
  <r>
    <x v="941"/>
    <d v="2025-01-03T00:00:00"/>
    <x v="1"/>
    <x v="3"/>
    <x v="1"/>
    <x v="1"/>
    <s v="Basic"/>
    <n v="1"/>
    <n v="1"/>
    <n v="0"/>
    <n v="0"/>
    <n v="0"/>
    <n v="0"/>
    <n v="0"/>
    <m/>
    <n v="62"/>
  </r>
  <r>
    <x v="942"/>
    <d v="2025-02-04T00:00:00"/>
    <x v="1"/>
    <x v="3"/>
    <x v="1"/>
    <x v="2"/>
    <s v="Free"/>
    <n v="1"/>
    <n v="1"/>
    <n v="1"/>
    <n v="1"/>
    <n v="324.68"/>
    <n v="1"/>
    <n v="0"/>
    <n v="7"/>
    <n v="50.1"/>
  </r>
  <r>
    <x v="943"/>
    <d v="2025-02-22T00:00:00"/>
    <x v="1"/>
    <x v="3"/>
    <x v="1"/>
    <x v="3"/>
    <s v="Premium"/>
    <n v="1"/>
    <n v="0"/>
    <n v="0"/>
    <n v="0"/>
    <n v="0"/>
    <n v="0"/>
    <n v="0"/>
    <m/>
    <n v="62.1"/>
  </r>
  <r>
    <x v="944"/>
    <d v="2025-05-06T00:00:00"/>
    <x v="1"/>
    <x v="1"/>
    <x v="1"/>
    <x v="1"/>
    <s v="Basic"/>
    <n v="1"/>
    <n v="0"/>
    <n v="0"/>
    <n v="0"/>
    <n v="0"/>
    <n v="0"/>
    <n v="0"/>
    <m/>
    <n v="49.7"/>
  </r>
  <r>
    <x v="945"/>
    <d v="2025-01-31T00:00:00"/>
    <x v="1"/>
    <x v="3"/>
    <x v="1"/>
    <x v="1"/>
    <s v="Free"/>
    <n v="1"/>
    <n v="0"/>
    <n v="0"/>
    <n v="0"/>
    <n v="0"/>
    <n v="3"/>
    <n v="0"/>
    <m/>
    <n v="71.099999999999994"/>
  </r>
  <r>
    <x v="946"/>
    <d v="2025-02-18T00:00:00"/>
    <x v="1"/>
    <x v="0"/>
    <x v="1"/>
    <x v="4"/>
    <s v="Basic"/>
    <n v="0"/>
    <n v="0"/>
    <n v="0"/>
    <n v="0"/>
    <n v="0"/>
    <n v="0"/>
    <n v="0"/>
    <m/>
    <n v="70.8"/>
  </r>
  <r>
    <x v="947"/>
    <d v="2025-04-23T00:00:00"/>
    <x v="1"/>
    <x v="2"/>
    <x v="1"/>
    <x v="2"/>
    <s v="Free"/>
    <n v="1"/>
    <n v="1"/>
    <n v="1"/>
    <n v="1"/>
    <n v="301.98"/>
    <n v="0"/>
    <n v="0"/>
    <n v="10"/>
    <n v="52.2"/>
  </r>
  <r>
    <x v="948"/>
    <d v="2025-02-06T00:00:00"/>
    <x v="1"/>
    <x v="0"/>
    <x v="1"/>
    <x v="1"/>
    <s v="Free"/>
    <n v="1"/>
    <n v="1"/>
    <n v="1"/>
    <n v="0"/>
    <n v="0"/>
    <n v="0"/>
    <n v="0"/>
    <m/>
    <n v="73"/>
  </r>
  <r>
    <x v="949"/>
    <d v="2025-04-26T00:00:00"/>
    <x v="1"/>
    <x v="3"/>
    <x v="0"/>
    <x v="2"/>
    <s v="Free"/>
    <n v="0"/>
    <n v="0"/>
    <n v="0"/>
    <n v="0"/>
    <n v="0"/>
    <n v="0"/>
    <n v="0"/>
    <m/>
    <n v="78.2"/>
  </r>
  <r>
    <x v="950"/>
    <d v="2025-03-30T00:00:00"/>
    <x v="1"/>
    <x v="1"/>
    <x v="0"/>
    <x v="2"/>
    <s v="Basic"/>
    <n v="1"/>
    <n v="0"/>
    <n v="0"/>
    <n v="0"/>
    <n v="0"/>
    <n v="0"/>
    <n v="0"/>
    <m/>
    <n v="68.8"/>
  </r>
  <r>
    <x v="951"/>
    <d v="2025-04-13T00:00:00"/>
    <x v="1"/>
    <x v="1"/>
    <x v="1"/>
    <x v="5"/>
    <s v="Premium"/>
    <n v="1"/>
    <n v="0"/>
    <n v="0"/>
    <n v="0"/>
    <n v="0"/>
    <n v="0"/>
    <n v="0"/>
    <m/>
    <n v="57.1"/>
  </r>
  <r>
    <x v="952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x v="953"/>
    <d v="2025-04-03T00:00:00"/>
    <x v="1"/>
    <x v="0"/>
    <x v="0"/>
    <x v="3"/>
    <s v="Free"/>
    <n v="1"/>
    <n v="0"/>
    <n v="0"/>
    <n v="0"/>
    <n v="0"/>
    <n v="1"/>
    <n v="0"/>
    <m/>
    <n v="64.099999999999994"/>
  </r>
  <r>
    <x v="954"/>
    <d v="2025-03-14T00:00:00"/>
    <x v="1"/>
    <x v="1"/>
    <x v="1"/>
    <x v="2"/>
    <s v="Premium"/>
    <n v="1"/>
    <n v="0"/>
    <n v="0"/>
    <n v="0"/>
    <n v="0"/>
    <n v="0"/>
    <n v="0"/>
    <m/>
    <n v="67.3"/>
  </r>
  <r>
    <x v="955"/>
    <d v="2025-01-14T00:00:00"/>
    <x v="1"/>
    <x v="1"/>
    <x v="1"/>
    <x v="3"/>
    <s v="Free"/>
    <n v="0"/>
    <n v="0"/>
    <n v="0"/>
    <n v="0"/>
    <n v="0"/>
    <n v="2"/>
    <n v="0"/>
    <m/>
    <n v="41"/>
  </r>
  <r>
    <x v="956"/>
    <d v="2025-05-05T00:00:00"/>
    <x v="1"/>
    <x v="1"/>
    <x v="1"/>
    <x v="2"/>
    <s v="Free"/>
    <n v="0"/>
    <n v="0"/>
    <n v="0"/>
    <n v="0"/>
    <n v="0"/>
    <n v="0"/>
    <n v="0"/>
    <m/>
    <n v="48.1"/>
  </r>
  <r>
    <x v="957"/>
    <d v="2025-05-02T00:00:00"/>
    <x v="1"/>
    <x v="1"/>
    <x v="0"/>
    <x v="4"/>
    <s v="Free"/>
    <n v="0"/>
    <n v="0"/>
    <n v="0"/>
    <n v="0"/>
    <n v="0"/>
    <n v="1"/>
    <n v="0"/>
    <m/>
    <n v="60.8"/>
  </r>
  <r>
    <x v="958"/>
    <d v="2025-05-21T00:00:00"/>
    <x v="1"/>
    <x v="2"/>
    <x v="1"/>
    <x v="1"/>
    <s v="Free"/>
    <n v="1"/>
    <n v="0"/>
    <n v="0"/>
    <n v="0"/>
    <n v="0"/>
    <n v="0"/>
    <n v="0"/>
    <m/>
    <n v="63.1"/>
  </r>
  <r>
    <x v="959"/>
    <d v="2025-05-16T00:00:00"/>
    <x v="1"/>
    <x v="0"/>
    <x v="1"/>
    <x v="3"/>
    <s v="Premium"/>
    <n v="1"/>
    <n v="0"/>
    <n v="0"/>
    <n v="0"/>
    <n v="0"/>
    <n v="2"/>
    <n v="0"/>
    <m/>
    <n v="49.7"/>
  </r>
  <r>
    <x v="960"/>
    <d v="2025-05-24T00:00:00"/>
    <x v="1"/>
    <x v="2"/>
    <x v="0"/>
    <x v="1"/>
    <s v="Premium"/>
    <n v="1"/>
    <n v="1"/>
    <n v="1"/>
    <n v="0"/>
    <n v="0"/>
    <n v="1"/>
    <n v="0"/>
    <m/>
    <n v="83.4"/>
  </r>
  <r>
    <x v="961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x v="962"/>
    <d v="2025-01-11T00:00:00"/>
    <x v="1"/>
    <x v="2"/>
    <x v="0"/>
    <x v="2"/>
    <s v="Free"/>
    <n v="0"/>
    <n v="0"/>
    <n v="0"/>
    <n v="0"/>
    <n v="0"/>
    <n v="1"/>
    <n v="0"/>
    <m/>
    <n v="71.8"/>
  </r>
  <r>
    <x v="963"/>
    <d v="2025-02-09T00:00:00"/>
    <x v="1"/>
    <x v="3"/>
    <x v="1"/>
    <x v="1"/>
    <s v="Basic"/>
    <n v="0"/>
    <n v="0"/>
    <n v="0"/>
    <n v="0"/>
    <n v="0"/>
    <n v="0"/>
    <n v="0"/>
    <m/>
    <n v="37.9"/>
  </r>
  <r>
    <x v="964"/>
    <d v="2025-03-01T00:00:00"/>
    <x v="1"/>
    <x v="0"/>
    <x v="0"/>
    <x v="4"/>
    <s v="Free"/>
    <n v="1"/>
    <n v="0"/>
    <n v="0"/>
    <n v="0"/>
    <n v="0"/>
    <n v="0"/>
    <n v="0"/>
    <m/>
    <n v="59.8"/>
  </r>
  <r>
    <x v="965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x v="966"/>
    <d v="2025-02-19T00:00:00"/>
    <x v="1"/>
    <x v="3"/>
    <x v="0"/>
    <x v="5"/>
    <s v="Free"/>
    <n v="1"/>
    <n v="0"/>
    <n v="0"/>
    <n v="0"/>
    <n v="0"/>
    <n v="0"/>
    <n v="0"/>
    <m/>
    <n v="59"/>
  </r>
  <r>
    <x v="967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x v="968"/>
    <d v="2025-03-23T00:00:00"/>
    <x v="1"/>
    <x v="3"/>
    <x v="1"/>
    <x v="4"/>
    <s v="Free"/>
    <n v="0"/>
    <n v="0"/>
    <n v="0"/>
    <n v="0"/>
    <n v="0"/>
    <n v="0"/>
    <n v="0"/>
    <m/>
    <n v="64.3"/>
  </r>
  <r>
    <x v="969"/>
    <d v="2025-04-25T00:00:00"/>
    <x v="1"/>
    <x v="3"/>
    <x v="0"/>
    <x v="4"/>
    <s v="Free"/>
    <n v="0"/>
    <n v="0"/>
    <n v="0"/>
    <n v="0"/>
    <n v="0"/>
    <n v="1"/>
    <n v="0"/>
    <m/>
    <n v="57.4"/>
  </r>
  <r>
    <x v="970"/>
    <d v="2025-05-10T00:00:00"/>
    <x v="1"/>
    <x v="0"/>
    <x v="0"/>
    <x v="4"/>
    <s v="Free"/>
    <n v="1"/>
    <n v="1"/>
    <n v="1"/>
    <n v="0"/>
    <n v="0"/>
    <n v="0"/>
    <n v="0"/>
    <m/>
    <n v="83.6"/>
  </r>
  <r>
    <x v="971"/>
    <d v="2025-04-22T00:00:00"/>
    <x v="1"/>
    <x v="2"/>
    <x v="1"/>
    <x v="2"/>
    <s v="Premium"/>
    <n v="0"/>
    <n v="0"/>
    <n v="0"/>
    <n v="0"/>
    <n v="0"/>
    <n v="0"/>
    <n v="0"/>
    <m/>
    <n v="45.8"/>
  </r>
  <r>
    <x v="972"/>
    <d v="2025-02-18T00:00:00"/>
    <x v="1"/>
    <x v="1"/>
    <x v="1"/>
    <x v="3"/>
    <s v="Basic"/>
    <n v="1"/>
    <n v="1"/>
    <n v="1"/>
    <n v="0"/>
    <n v="0"/>
    <n v="0"/>
    <n v="0"/>
    <m/>
    <n v="64.3"/>
  </r>
  <r>
    <x v="973"/>
    <d v="2025-01-26T00:00:00"/>
    <x v="1"/>
    <x v="3"/>
    <x v="1"/>
    <x v="2"/>
    <s v="Premium"/>
    <n v="1"/>
    <n v="1"/>
    <n v="1"/>
    <n v="0"/>
    <n v="0"/>
    <n v="0"/>
    <n v="0"/>
    <m/>
    <n v="80.5"/>
  </r>
  <r>
    <x v="974"/>
    <d v="2025-04-28T00:00:00"/>
    <x v="1"/>
    <x v="0"/>
    <x v="1"/>
    <x v="1"/>
    <s v="Free"/>
    <n v="1"/>
    <n v="0"/>
    <n v="0"/>
    <n v="0"/>
    <n v="0"/>
    <n v="0"/>
    <n v="0"/>
    <m/>
    <n v="46.3"/>
  </r>
  <r>
    <x v="975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x v="976"/>
    <d v="2025-04-12T00:00:00"/>
    <x v="1"/>
    <x v="3"/>
    <x v="0"/>
    <x v="0"/>
    <s v="Premium"/>
    <n v="1"/>
    <n v="1"/>
    <n v="0"/>
    <n v="0"/>
    <n v="0"/>
    <n v="0"/>
    <n v="0"/>
    <m/>
    <n v="57.8"/>
  </r>
  <r>
    <x v="977"/>
    <d v="2025-01-03T00:00:00"/>
    <x v="1"/>
    <x v="1"/>
    <x v="0"/>
    <x v="0"/>
    <s v="Basic"/>
    <n v="1"/>
    <n v="1"/>
    <n v="1"/>
    <n v="0"/>
    <n v="0"/>
    <n v="1"/>
    <n v="0"/>
    <m/>
    <n v="57.8"/>
  </r>
  <r>
    <x v="978"/>
    <d v="2025-05-08T00:00:00"/>
    <x v="1"/>
    <x v="0"/>
    <x v="1"/>
    <x v="2"/>
    <s v="Free"/>
    <n v="1"/>
    <n v="0"/>
    <n v="0"/>
    <n v="0"/>
    <n v="0"/>
    <n v="0"/>
    <n v="0"/>
    <m/>
    <n v="38.299999999999997"/>
  </r>
  <r>
    <x v="979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x v="980"/>
    <d v="2025-03-17T00:00:00"/>
    <x v="1"/>
    <x v="0"/>
    <x v="0"/>
    <x v="2"/>
    <s v="Premium"/>
    <n v="1"/>
    <n v="0"/>
    <n v="0"/>
    <n v="0"/>
    <n v="0"/>
    <n v="0"/>
    <n v="0"/>
    <m/>
    <n v="66.5"/>
  </r>
  <r>
    <x v="981"/>
    <d v="2025-04-10T00:00:00"/>
    <x v="1"/>
    <x v="3"/>
    <x v="0"/>
    <x v="0"/>
    <s v="Free"/>
    <n v="1"/>
    <n v="0"/>
    <n v="0"/>
    <n v="0"/>
    <n v="0"/>
    <n v="3"/>
    <n v="0"/>
    <m/>
    <n v="51.5"/>
  </r>
  <r>
    <x v="982"/>
    <d v="2025-05-08T00:00:00"/>
    <x v="1"/>
    <x v="0"/>
    <x v="0"/>
    <x v="3"/>
    <s v="Free"/>
    <n v="1"/>
    <n v="0"/>
    <n v="0"/>
    <n v="0"/>
    <n v="0"/>
    <n v="0"/>
    <n v="0"/>
    <m/>
    <n v="59.9"/>
  </r>
  <r>
    <x v="983"/>
    <d v="2025-04-19T00:00:00"/>
    <x v="1"/>
    <x v="1"/>
    <x v="1"/>
    <x v="2"/>
    <s v="Basic"/>
    <n v="1"/>
    <n v="0"/>
    <n v="0"/>
    <n v="0"/>
    <n v="0"/>
    <n v="0"/>
    <n v="0"/>
    <m/>
    <n v="58.8"/>
  </r>
  <r>
    <x v="984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x v="985"/>
    <d v="2025-03-10T00:00:00"/>
    <x v="1"/>
    <x v="2"/>
    <x v="1"/>
    <x v="2"/>
    <s v="Free"/>
    <n v="1"/>
    <n v="0"/>
    <n v="0"/>
    <n v="0"/>
    <n v="0"/>
    <n v="0"/>
    <n v="0"/>
    <m/>
    <n v="77.5"/>
  </r>
  <r>
    <x v="986"/>
    <d v="2025-03-10T00:00:00"/>
    <x v="1"/>
    <x v="2"/>
    <x v="2"/>
    <x v="4"/>
    <s v="Premium"/>
    <n v="0"/>
    <n v="0"/>
    <n v="0"/>
    <n v="0"/>
    <n v="0"/>
    <n v="2"/>
    <n v="0"/>
    <m/>
    <n v="57.5"/>
  </r>
  <r>
    <x v="987"/>
    <d v="2025-04-19T00:00:00"/>
    <x v="1"/>
    <x v="1"/>
    <x v="2"/>
    <x v="0"/>
    <s v="Basic"/>
    <n v="1"/>
    <n v="0"/>
    <n v="0"/>
    <n v="0"/>
    <n v="0"/>
    <n v="0"/>
    <n v="0"/>
    <m/>
    <n v="64.2"/>
  </r>
  <r>
    <x v="988"/>
    <d v="2025-04-11T00:00:00"/>
    <x v="1"/>
    <x v="1"/>
    <x v="0"/>
    <x v="1"/>
    <s v="Free"/>
    <n v="0"/>
    <n v="0"/>
    <n v="0"/>
    <n v="0"/>
    <n v="0"/>
    <n v="0"/>
    <n v="0"/>
    <m/>
    <n v="60"/>
  </r>
  <r>
    <x v="989"/>
    <d v="2025-04-10T00:00:00"/>
    <x v="1"/>
    <x v="2"/>
    <x v="1"/>
    <x v="1"/>
    <s v="Basic"/>
    <n v="1"/>
    <n v="0"/>
    <n v="0"/>
    <n v="0"/>
    <n v="0"/>
    <n v="1"/>
    <n v="0"/>
    <m/>
    <n v="43.7"/>
  </r>
  <r>
    <x v="990"/>
    <d v="2025-01-13T00:00:00"/>
    <x v="1"/>
    <x v="1"/>
    <x v="0"/>
    <x v="4"/>
    <s v="Free"/>
    <n v="1"/>
    <n v="0"/>
    <n v="0"/>
    <n v="0"/>
    <n v="0"/>
    <n v="0"/>
    <n v="0"/>
    <m/>
    <n v="64.900000000000006"/>
  </r>
  <r>
    <x v="991"/>
    <d v="2025-03-28T00:00:00"/>
    <x v="1"/>
    <x v="3"/>
    <x v="0"/>
    <x v="1"/>
    <s v="Free"/>
    <n v="1"/>
    <n v="1"/>
    <n v="0"/>
    <n v="0"/>
    <n v="0"/>
    <n v="0"/>
    <n v="0"/>
    <m/>
    <n v="45.5"/>
  </r>
  <r>
    <x v="992"/>
    <d v="2025-01-29T00:00:00"/>
    <x v="1"/>
    <x v="2"/>
    <x v="1"/>
    <x v="2"/>
    <s v="Free"/>
    <n v="1"/>
    <n v="1"/>
    <n v="1"/>
    <n v="1"/>
    <n v="1772.97"/>
    <n v="0"/>
    <n v="0"/>
    <n v="8"/>
    <n v="61.2"/>
  </r>
  <r>
    <x v="993"/>
    <d v="2025-03-27T00:00:00"/>
    <x v="1"/>
    <x v="3"/>
    <x v="1"/>
    <x v="3"/>
    <s v="Free"/>
    <n v="0"/>
    <n v="0"/>
    <n v="0"/>
    <n v="0"/>
    <n v="0"/>
    <n v="0"/>
    <n v="0"/>
    <m/>
    <n v="87.8"/>
  </r>
  <r>
    <x v="994"/>
    <d v="2025-03-20T00:00:00"/>
    <x v="1"/>
    <x v="2"/>
    <x v="2"/>
    <x v="4"/>
    <s v="Free"/>
    <n v="0"/>
    <n v="0"/>
    <n v="0"/>
    <n v="0"/>
    <n v="0"/>
    <n v="0"/>
    <n v="0"/>
    <m/>
    <n v="86.4"/>
  </r>
  <r>
    <x v="995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x v="996"/>
    <d v="2025-04-25T00:00:00"/>
    <x v="1"/>
    <x v="1"/>
    <x v="1"/>
    <x v="4"/>
    <s v="Free"/>
    <n v="1"/>
    <n v="1"/>
    <n v="1"/>
    <n v="1"/>
    <n v="218.66"/>
    <n v="0"/>
    <n v="1"/>
    <n v="8"/>
    <n v="72.2"/>
  </r>
  <r>
    <x v="997"/>
    <d v="2025-04-11T00:00:00"/>
    <x v="1"/>
    <x v="3"/>
    <x v="0"/>
    <x v="4"/>
    <s v="Free"/>
    <n v="1"/>
    <n v="0"/>
    <n v="0"/>
    <n v="0"/>
    <n v="0"/>
    <n v="0"/>
    <n v="0"/>
    <m/>
    <n v="51.9"/>
  </r>
  <r>
    <x v="998"/>
    <d v="2025-02-05T00:00:00"/>
    <x v="1"/>
    <x v="2"/>
    <x v="1"/>
    <x v="4"/>
    <s v="Basic"/>
    <n v="1"/>
    <n v="1"/>
    <n v="1"/>
    <n v="0"/>
    <n v="0"/>
    <n v="0"/>
    <n v="0"/>
    <m/>
    <n v="70.3"/>
  </r>
  <r>
    <x v="999"/>
    <d v="2025-03-28T00:00:00"/>
    <x v="1"/>
    <x v="3"/>
    <x v="1"/>
    <x v="4"/>
    <s v="Premium"/>
    <n v="1"/>
    <n v="0"/>
    <n v="0"/>
    <n v="0"/>
    <n v="0"/>
    <n v="1"/>
    <n v="0"/>
    <m/>
    <n v="49.2"/>
  </r>
  <r>
    <x v="1000"/>
    <d v="2025-05-14T00:00:00"/>
    <x v="1"/>
    <x v="3"/>
    <x v="1"/>
    <x v="3"/>
    <s v="Free"/>
    <n v="0"/>
    <n v="0"/>
    <n v="0"/>
    <n v="0"/>
    <n v="0"/>
    <n v="0"/>
    <n v="0"/>
    <m/>
    <n v="52.2"/>
  </r>
  <r>
    <x v="1001"/>
    <d v="2025-03-10T00:00:00"/>
    <x v="1"/>
    <x v="2"/>
    <x v="1"/>
    <x v="2"/>
    <s v="Basic"/>
    <n v="0"/>
    <n v="0"/>
    <n v="0"/>
    <n v="0"/>
    <n v="0"/>
    <n v="1"/>
    <n v="0"/>
    <m/>
    <n v="62.6"/>
  </r>
  <r>
    <x v="1002"/>
    <d v="2025-04-09T00:00:00"/>
    <x v="1"/>
    <x v="2"/>
    <x v="0"/>
    <x v="2"/>
    <s v="Free"/>
    <n v="1"/>
    <n v="1"/>
    <n v="0"/>
    <n v="0"/>
    <n v="0"/>
    <n v="0"/>
    <n v="0"/>
    <m/>
    <n v="100"/>
  </r>
  <r>
    <x v="1003"/>
    <d v="2025-02-13T00:00:00"/>
    <x v="1"/>
    <x v="0"/>
    <x v="1"/>
    <x v="3"/>
    <s v="Basic"/>
    <n v="1"/>
    <n v="1"/>
    <n v="1"/>
    <n v="0"/>
    <n v="0"/>
    <n v="2"/>
    <n v="0"/>
    <m/>
    <n v="45.9"/>
  </r>
  <r>
    <x v="1004"/>
    <d v="2025-05-03T00:00:00"/>
    <x v="1"/>
    <x v="2"/>
    <x v="1"/>
    <x v="0"/>
    <s v="Free"/>
    <n v="1"/>
    <n v="1"/>
    <n v="1"/>
    <n v="0"/>
    <n v="0"/>
    <n v="0"/>
    <n v="0"/>
    <m/>
    <n v="80.7"/>
  </r>
  <r>
    <x v="1005"/>
    <d v="2025-04-16T00:00:00"/>
    <x v="1"/>
    <x v="3"/>
    <x v="0"/>
    <x v="3"/>
    <s v="Premium"/>
    <n v="1"/>
    <n v="0"/>
    <n v="0"/>
    <n v="0"/>
    <n v="0"/>
    <n v="0"/>
    <n v="0"/>
    <m/>
    <n v="51.9"/>
  </r>
  <r>
    <x v="1006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x v="1007"/>
    <d v="2025-02-18T00:00:00"/>
    <x v="1"/>
    <x v="1"/>
    <x v="0"/>
    <x v="1"/>
    <s v="Free"/>
    <n v="1"/>
    <n v="0"/>
    <n v="0"/>
    <n v="0"/>
    <n v="0"/>
    <n v="0"/>
    <n v="0"/>
    <m/>
    <n v="66"/>
  </r>
  <r>
    <x v="1008"/>
    <d v="2025-05-22T00:00:00"/>
    <x v="1"/>
    <x v="1"/>
    <x v="0"/>
    <x v="3"/>
    <s v="Basic"/>
    <n v="0"/>
    <n v="0"/>
    <n v="0"/>
    <n v="0"/>
    <n v="0"/>
    <n v="0"/>
    <n v="0"/>
    <m/>
    <n v="63.1"/>
  </r>
  <r>
    <x v="1009"/>
    <d v="2025-05-21T00:00:00"/>
    <x v="1"/>
    <x v="3"/>
    <x v="0"/>
    <x v="1"/>
    <s v="Free"/>
    <n v="0"/>
    <n v="0"/>
    <n v="0"/>
    <n v="0"/>
    <n v="0"/>
    <n v="0"/>
    <n v="0"/>
    <m/>
    <n v="56"/>
  </r>
  <r>
    <x v="1010"/>
    <d v="2025-04-10T00:00:00"/>
    <x v="1"/>
    <x v="2"/>
    <x v="0"/>
    <x v="1"/>
    <s v="Free"/>
    <n v="1"/>
    <n v="0"/>
    <n v="0"/>
    <n v="0"/>
    <n v="0"/>
    <n v="1"/>
    <n v="0"/>
    <m/>
    <n v="65.7"/>
  </r>
  <r>
    <x v="1011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x v="1012"/>
    <d v="2025-02-03T00:00:00"/>
    <x v="1"/>
    <x v="3"/>
    <x v="0"/>
    <x v="4"/>
    <s v="Free"/>
    <n v="0"/>
    <n v="0"/>
    <n v="0"/>
    <n v="0"/>
    <n v="0"/>
    <n v="0"/>
    <n v="0"/>
    <m/>
    <n v="45.5"/>
  </r>
  <r>
    <x v="1013"/>
    <d v="2025-05-18T00:00:00"/>
    <x v="1"/>
    <x v="0"/>
    <x v="1"/>
    <x v="2"/>
    <s v="Free"/>
    <n v="1"/>
    <n v="0"/>
    <n v="0"/>
    <n v="0"/>
    <n v="0"/>
    <n v="0"/>
    <n v="0"/>
    <m/>
    <n v="50"/>
  </r>
  <r>
    <x v="1014"/>
    <d v="2025-01-31T00:00:00"/>
    <x v="1"/>
    <x v="0"/>
    <x v="1"/>
    <x v="3"/>
    <s v="Free"/>
    <n v="1"/>
    <n v="0"/>
    <n v="0"/>
    <n v="0"/>
    <n v="0"/>
    <n v="0"/>
    <n v="0"/>
    <m/>
    <n v="72.099999999999994"/>
  </r>
  <r>
    <x v="1015"/>
    <d v="2025-01-16T00:00:00"/>
    <x v="1"/>
    <x v="3"/>
    <x v="0"/>
    <x v="1"/>
    <s v="Basic"/>
    <n v="1"/>
    <n v="0"/>
    <n v="0"/>
    <n v="0"/>
    <n v="0"/>
    <n v="0"/>
    <n v="0"/>
    <m/>
    <n v="76.3"/>
  </r>
  <r>
    <x v="1016"/>
    <d v="2025-05-14T00:00:00"/>
    <x v="1"/>
    <x v="2"/>
    <x v="1"/>
    <x v="2"/>
    <s v="Basic"/>
    <n v="1"/>
    <n v="1"/>
    <n v="0"/>
    <n v="0"/>
    <n v="0"/>
    <n v="1"/>
    <n v="0"/>
    <m/>
    <n v="54.8"/>
  </r>
  <r>
    <x v="1017"/>
    <d v="2025-04-01T00:00:00"/>
    <x v="1"/>
    <x v="3"/>
    <x v="1"/>
    <x v="5"/>
    <s v="Basic"/>
    <n v="1"/>
    <n v="0"/>
    <n v="0"/>
    <n v="0"/>
    <n v="0"/>
    <n v="0"/>
    <n v="0"/>
    <m/>
    <n v="63.6"/>
  </r>
  <r>
    <x v="1018"/>
    <d v="2025-04-23T00:00:00"/>
    <x v="1"/>
    <x v="3"/>
    <x v="1"/>
    <x v="1"/>
    <s v="Free"/>
    <n v="1"/>
    <n v="0"/>
    <n v="0"/>
    <n v="0"/>
    <n v="0"/>
    <n v="0"/>
    <n v="0"/>
    <m/>
    <n v="68.8"/>
  </r>
  <r>
    <x v="1019"/>
    <d v="2025-03-02T00:00:00"/>
    <x v="1"/>
    <x v="3"/>
    <x v="0"/>
    <x v="2"/>
    <s v="Basic"/>
    <n v="1"/>
    <n v="0"/>
    <n v="0"/>
    <n v="0"/>
    <n v="0"/>
    <n v="0"/>
    <n v="0"/>
    <m/>
    <n v="63.2"/>
  </r>
  <r>
    <x v="1020"/>
    <d v="2025-01-02T00:00:00"/>
    <x v="1"/>
    <x v="2"/>
    <x v="1"/>
    <x v="2"/>
    <s v="Basic"/>
    <n v="0"/>
    <n v="0"/>
    <n v="0"/>
    <n v="0"/>
    <n v="0"/>
    <n v="0"/>
    <n v="0"/>
    <m/>
    <n v="45"/>
  </r>
  <r>
    <x v="1021"/>
    <d v="2025-05-04T00:00:00"/>
    <x v="1"/>
    <x v="3"/>
    <x v="1"/>
    <x v="1"/>
    <s v="Free"/>
    <n v="1"/>
    <n v="0"/>
    <n v="0"/>
    <n v="0"/>
    <n v="0"/>
    <n v="0"/>
    <n v="0"/>
    <m/>
    <n v="77.400000000000006"/>
  </r>
  <r>
    <x v="1022"/>
    <d v="2025-01-16T00:00:00"/>
    <x v="1"/>
    <x v="2"/>
    <x v="0"/>
    <x v="2"/>
    <s v="Basic"/>
    <n v="0"/>
    <n v="0"/>
    <n v="0"/>
    <n v="0"/>
    <n v="0"/>
    <n v="0"/>
    <n v="0"/>
    <m/>
    <n v="53.1"/>
  </r>
  <r>
    <x v="1023"/>
    <d v="2025-02-11T00:00:00"/>
    <x v="1"/>
    <x v="1"/>
    <x v="2"/>
    <x v="2"/>
    <s v="Premium"/>
    <n v="0"/>
    <n v="0"/>
    <n v="0"/>
    <n v="0"/>
    <n v="0"/>
    <n v="0"/>
    <n v="0"/>
    <m/>
    <n v="74"/>
  </r>
  <r>
    <x v="1024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x v="1025"/>
    <d v="2025-03-26T00:00:00"/>
    <x v="1"/>
    <x v="2"/>
    <x v="1"/>
    <x v="3"/>
    <s v="Free"/>
    <n v="1"/>
    <n v="0"/>
    <n v="0"/>
    <n v="0"/>
    <n v="0"/>
    <n v="0"/>
    <n v="0"/>
    <m/>
    <n v="57"/>
  </r>
  <r>
    <x v="1026"/>
    <d v="2025-05-16T00:00:00"/>
    <x v="1"/>
    <x v="3"/>
    <x v="1"/>
    <x v="0"/>
    <s v="Premium"/>
    <n v="0"/>
    <n v="0"/>
    <n v="0"/>
    <n v="0"/>
    <n v="0"/>
    <n v="0"/>
    <n v="0"/>
    <m/>
    <n v="46.3"/>
  </r>
  <r>
    <x v="1027"/>
    <d v="2025-04-20T00:00:00"/>
    <x v="1"/>
    <x v="1"/>
    <x v="1"/>
    <x v="4"/>
    <s v="Free"/>
    <n v="0"/>
    <n v="0"/>
    <n v="0"/>
    <n v="0"/>
    <n v="0"/>
    <n v="1"/>
    <n v="0"/>
    <m/>
    <n v="64.400000000000006"/>
  </r>
  <r>
    <x v="1028"/>
    <d v="2025-04-15T00:00:00"/>
    <x v="1"/>
    <x v="1"/>
    <x v="1"/>
    <x v="2"/>
    <s v="Free"/>
    <n v="1"/>
    <n v="0"/>
    <n v="0"/>
    <n v="0"/>
    <n v="0"/>
    <n v="2"/>
    <n v="0"/>
    <m/>
    <n v="61.9"/>
  </r>
  <r>
    <x v="1029"/>
    <d v="2025-01-24T00:00:00"/>
    <x v="1"/>
    <x v="0"/>
    <x v="1"/>
    <x v="1"/>
    <s v="Premium"/>
    <n v="1"/>
    <n v="1"/>
    <n v="1"/>
    <n v="0"/>
    <n v="0"/>
    <n v="0"/>
    <n v="0"/>
    <m/>
    <n v="93.7"/>
  </r>
  <r>
    <x v="1030"/>
    <d v="2025-04-11T00:00:00"/>
    <x v="1"/>
    <x v="3"/>
    <x v="1"/>
    <x v="3"/>
    <s v="Basic"/>
    <n v="0"/>
    <n v="0"/>
    <n v="0"/>
    <n v="0"/>
    <n v="0"/>
    <n v="0"/>
    <n v="0"/>
    <m/>
    <n v="61.6"/>
  </r>
  <r>
    <x v="1031"/>
    <d v="2025-05-19T00:00:00"/>
    <x v="1"/>
    <x v="0"/>
    <x v="1"/>
    <x v="2"/>
    <s v="Free"/>
    <n v="1"/>
    <n v="0"/>
    <n v="0"/>
    <n v="0"/>
    <n v="0"/>
    <n v="0"/>
    <n v="0"/>
    <m/>
    <n v="72.2"/>
  </r>
  <r>
    <x v="1032"/>
    <d v="2025-01-14T00:00:00"/>
    <x v="1"/>
    <x v="0"/>
    <x v="1"/>
    <x v="1"/>
    <s v="Basic"/>
    <n v="0"/>
    <n v="0"/>
    <n v="0"/>
    <n v="0"/>
    <n v="0"/>
    <n v="0"/>
    <n v="0"/>
    <m/>
    <n v="69.5"/>
  </r>
  <r>
    <x v="1033"/>
    <d v="2025-02-28T00:00:00"/>
    <x v="1"/>
    <x v="2"/>
    <x v="0"/>
    <x v="1"/>
    <s v="Basic"/>
    <n v="0"/>
    <n v="0"/>
    <n v="0"/>
    <n v="0"/>
    <n v="0"/>
    <n v="0"/>
    <n v="0"/>
    <m/>
    <n v="59.7"/>
  </r>
  <r>
    <x v="1034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x v="1035"/>
    <d v="2025-01-04T00:00:00"/>
    <x v="1"/>
    <x v="0"/>
    <x v="1"/>
    <x v="4"/>
    <s v="Free"/>
    <n v="0"/>
    <n v="0"/>
    <n v="0"/>
    <n v="0"/>
    <n v="0"/>
    <n v="0"/>
    <n v="0"/>
    <m/>
    <n v="41.5"/>
  </r>
  <r>
    <x v="1036"/>
    <d v="2025-01-16T00:00:00"/>
    <x v="1"/>
    <x v="1"/>
    <x v="1"/>
    <x v="4"/>
    <s v="Premium"/>
    <n v="1"/>
    <n v="0"/>
    <n v="0"/>
    <n v="0"/>
    <n v="0"/>
    <n v="0"/>
    <n v="0"/>
    <m/>
    <n v="82.8"/>
  </r>
  <r>
    <x v="1037"/>
    <d v="2025-03-14T00:00:00"/>
    <x v="1"/>
    <x v="1"/>
    <x v="1"/>
    <x v="4"/>
    <s v="Premium"/>
    <n v="1"/>
    <n v="0"/>
    <n v="0"/>
    <n v="0"/>
    <n v="0"/>
    <n v="3"/>
    <n v="0"/>
    <m/>
    <n v="70.2"/>
  </r>
  <r>
    <x v="1038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x v="1039"/>
    <d v="2025-02-03T00:00:00"/>
    <x v="1"/>
    <x v="0"/>
    <x v="0"/>
    <x v="1"/>
    <s v="Basic"/>
    <n v="1"/>
    <n v="0"/>
    <n v="0"/>
    <n v="0"/>
    <n v="0"/>
    <n v="0"/>
    <n v="0"/>
    <m/>
    <n v="60.4"/>
  </r>
  <r>
    <x v="1040"/>
    <d v="2025-05-16T00:00:00"/>
    <x v="1"/>
    <x v="2"/>
    <x v="1"/>
    <x v="3"/>
    <s v="Free"/>
    <n v="1"/>
    <n v="0"/>
    <n v="0"/>
    <n v="0"/>
    <n v="0"/>
    <n v="0"/>
    <n v="0"/>
    <m/>
    <n v="45.7"/>
  </r>
  <r>
    <x v="1041"/>
    <d v="2025-01-11T00:00:00"/>
    <x v="1"/>
    <x v="1"/>
    <x v="1"/>
    <x v="1"/>
    <s v="Basic"/>
    <n v="0"/>
    <n v="0"/>
    <n v="0"/>
    <n v="0"/>
    <n v="0"/>
    <n v="1"/>
    <n v="0"/>
    <m/>
    <n v="42.2"/>
  </r>
  <r>
    <x v="1042"/>
    <d v="2025-05-25T00:00:00"/>
    <x v="1"/>
    <x v="0"/>
    <x v="0"/>
    <x v="1"/>
    <s v="Free"/>
    <n v="0"/>
    <n v="0"/>
    <n v="0"/>
    <n v="0"/>
    <n v="0"/>
    <n v="2"/>
    <n v="0"/>
    <m/>
    <n v="61.9"/>
  </r>
  <r>
    <x v="1043"/>
    <d v="2025-05-08T00:00:00"/>
    <x v="1"/>
    <x v="2"/>
    <x v="1"/>
    <x v="2"/>
    <s v="Premium"/>
    <n v="0"/>
    <n v="0"/>
    <n v="0"/>
    <n v="0"/>
    <n v="0"/>
    <n v="0"/>
    <n v="0"/>
    <m/>
    <n v="44.9"/>
  </r>
  <r>
    <x v="1044"/>
    <d v="2025-02-26T00:00:00"/>
    <x v="1"/>
    <x v="2"/>
    <x v="0"/>
    <x v="5"/>
    <s v="Basic"/>
    <n v="1"/>
    <n v="0"/>
    <n v="0"/>
    <n v="0"/>
    <n v="0"/>
    <n v="0"/>
    <n v="0"/>
    <m/>
    <n v="68"/>
  </r>
  <r>
    <x v="1045"/>
    <d v="2025-03-30T00:00:00"/>
    <x v="1"/>
    <x v="0"/>
    <x v="1"/>
    <x v="2"/>
    <s v="Free"/>
    <n v="1"/>
    <n v="0"/>
    <n v="0"/>
    <n v="0"/>
    <n v="0"/>
    <n v="0"/>
    <n v="0"/>
    <m/>
    <n v="61"/>
  </r>
  <r>
    <x v="1046"/>
    <d v="2025-04-13T00:00:00"/>
    <x v="1"/>
    <x v="1"/>
    <x v="1"/>
    <x v="1"/>
    <s v="Basic"/>
    <n v="1"/>
    <n v="0"/>
    <n v="0"/>
    <n v="0"/>
    <n v="0"/>
    <n v="0"/>
    <n v="0"/>
    <m/>
    <n v="55"/>
  </r>
  <r>
    <x v="1047"/>
    <d v="2025-02-20T00:00:00"/>
    <x v="1"/>
    <x v="2"/>
    <x v="3"/>
    <x v="2"/>
    <s v="Basic"/>
    <n v="1"/>
    <n v="0"/>
    <n v="0"/>
    <n v="0"/>
    <n v="0"/>
    <n v="0"/>
    <n v="0"/>
    <m/>
    <n v="63.1"/>
  </r>
  <r>
    <x v="1048"/>
    <d v="2025-04-19T00:00:00"/>
    <x v="1"/>
    <x v="1"/>
    <x v="0"/>
    <x v="4"/>
    <s v="Free"/>
    <n v="1"/>
    <n v="0"/>
    <n v="0"/>
    <n v="0"/>
    <n v="0"/>
    <n v="0"/>
    <n v="0"/>
    <m/>
    <n v="75.8"/>
  </r>
  <r>
    <x v="1049"/>
    <d v="2025-03-22T00:00:00"/>
    <x v="1"/>
    <x v="3"/>
    <x v="1"/>
    <x v="2"/>
    <s v="Free"/>
    <n v="1"/>
    <n v="1"/>
    <n v="0"/>
    <n v="0"/>
    <n v="0"/>
    <n v="1"/>
    <n v="0"/>
    <m/>
    <n v="43.8"/>
  </r>
  <r>
    <x v="1050"/>
    <d v="2025-02-28T00:00:00"/>
    <x v="1"/>
    <x v="0"/>
    <x v="1"/>
    <x v="0"/>
    <s v="Basic"/>
    <n v="1"/>
    <n v="1"/>
    <n v="0"/>
    <n v="0"/>
    <n v="0"/>
    <n v="0"/>
    <n v="0"/>
    <m/>
    <n v="46.8"/>
  </r>
  <r>
    <x v="1051"/>
    <d v="2025-05-24T00:00:00"/>
    <x v="1"/>
    <x v="2"/>
    <x v="1"/>
    <x v="4"/>
    <s v="Free"/>
    <n v="1"/>
    <n v="1"/>
    <n v="1"/>
    <n v="0"/>
    <n v="0"/>
    <n v="0"/>
    <n v="0"/>
    <m/>
    <n v="97.4"/>
  </r>
  <r>
    <x v="1052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x v="1053"/>
    <d v="2025-01-27T00:00:00"/>
    <x v="1"/>
    <x v="3"/>
    <x v="1"/>
    <x v="1"/>
    <s v="Free"/>
    <n v="1"/>
    <n v="0"/>
    <n v="0"/>
    <n v="0"/>
    <n v="0"/>
    <n v="1"/>
    <n v="0"/>
    <m/>
    <n v="58.9"/>
  </r>
  <r>
    <x v="1054"/>
    <d v="2025-04-17T00:00:00"/>
    <x v="1"/>
    <x v="2"/>
    <x v="1"/>
    <x v="1"/>
    <s v="Free"/>
    <n v="1"/>
    <n v="0"/>
    <n v="0"/>
    <n v="0"/>
    <n v="0"/>
    <n v="0"/>
    <n v="0"/>
    <m/>
    <n v="51.9"/>
  </r>
  <r>
    <x v="1055"/>
    <d v="2025-02-06T00:00:00"/>
    <x v="1"/>
    <x v="1"/>
    <x v="1"/>
    <x v="4"/>
    <s v="Free"/>
    <n v="1"/>
    <n v="1"/>
    <n v="0"/>
    <n v="0"/>
    <n v="0"/>
    <n v="0"/>
    <n v="0"/>
    <m/>
    <n v="61.7"/>
  </r>
  <r>
    <x v="1056"/>
    <d v="2025-04-20T00:00:00"/>
    <x v="1"/>
    <x v="3"/>
    <x v="1"/>
    <x v="2"/>
    <s v="Free"/>
    <n v="1"/>
    <n v="0"/>
    <n v="0"/>
    <n v="0"/>
    <n v="0"/>
    <n v="0"/>
    <n v="0"/>
    <m/>
    <n v="44.7"/>
  </r>
  <r>
    <x v="1057"/>
    <d v="2025-05-06T00:00:00"/>
    <x v="1"/>
    <x v="0"/>
    <x v="1"/>
    <x v="2"/>
    <s v="Basic"/>
    <n v="0"/>
    <n v="0"/>
    <n v="0"/>
    <n v="0"/>
    <n v="0"/>
    <n v="0"/>
    <n v="0"/>
    <m/>
    <n v="63.2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1059"/>
    <d v="2025-03-02T00:00:00"/>
    <x v="1"/>
    <x v="3"/>
    <x v="1"/>
    <x v="2"/>
    <s v="Premium"/>
    <n v="1"/>
    <n v="1"/>
    <n v="0"/>
    <n v="0"/>
    <n v="0"/>
    <n v="1"/>
    <n v="0"/>
    <m/>
    <n v="83.1"/>
  </r>
  <r>
    <x v="1060"/>
    <d v="2025-04-09T00:00:00"/>
    <x v="1"/>
    <x v="1"/>
    <x v="1"/>
    <x v="4"/>
    <s v="Free"/>
    <n v="0"/>
    <n v="0"/>
    <n v="0"/>
    <n v="0"/>
    <n v="0"/>
    <n v="0"/>
    <n v="0"/>
    <m/>
    <n v="50.3"/>
  </r>
  <r>
    <x v="1061"/>
    <d v="2025-01-26T00:00:00"/>
    <x v="1"/>
    <x v="2"/>
    <x v="1"/>
    <x v="2"/>
    <s v="Free"/>
    <n v="1"/>
    <n v="1"/>
    <n v="1"/>
    <n v="1"/>
    <n v="437.09"/>
    <n v="2"/>
    <n v="1"/>
    <n v="1"/>
    <n v="58.2"/>
  </r>
  <r>
    <x v="1062"/>
    <d v="2025-02-25T00:00:00"/>
    <x v="1"/>
    <x v="3"/>
    <x v="1"/>
    <x v="2"/>
    <s v="Basic"/>
    <n v="1"/>
    <n v="1"/>
    <n v="1"/>
    <n v="0"/>
    <n v="0"/>
    <n v="0"/>
    <n v="0"/>
    <m/>
    <n v="53.2"/>
  </r>
  <r>
    <x v="1063"/>
    <d v="2025-01-07T00:00:00"/>
    <x v="1"/>
    <x v="2"/>
    <x v="1"/>
    <x v="1"/>
    <s v="Premium"/>
    <n v="0"/>
    <n v="0"/>
    <n v="0"/>
    <n v="0"/>
    <n v="0"/>
    <n v="0"/>
    <n v="0"/>
    <m/>
    <n v="36.4"/>
  </r>
  <r>
    <x v="1064"/>
    <d v="2025-03-08T00:00:00"/>
    <x v="1"/>
    <x v="3"/>
    <x v="1"/>
    <x v="4"/>
    <s v="Basic"/>
    <n v="1"/>
    <n v="1"/>
    <n v="1"/>
    <n v="0"/>
    <n v="0"/>
    <n v="0"/>
    <n v="0"/>
    <m/>
    <n v="72.7"/>
  </r>
  <r>
    <x v="1065"/>
    <d v="2025-05-22T00:00:00"/>
    <x v="1"/>
    <x v="2"/>
    <x v="1"/>
    <x v="3"/>
    <s v="Free"/>
    <n v="1"/>
    <n v="0"/>
    <n v="0"/>
    <n v="0"/>
    <n v="0"/>
    <n v="1"/>
    <n v="0"/>
    <m/>
    <n v="86.7"/>
  </r>
  <r>
    <x v="1066"/>
    <d v="2025-04-18T00:00:00"/>
    <x v="1"/>
    <x v="2"/>
    <x v="1"/>
    <x v="2"/>
    <s v="Premium"/>
    <n v="1"/>
    <n v="0"/>
    <n v="0"/>
    <n v="0"/>
    <n v="0"/>
    <n v="0"/>
    <n v="0"/>
    <m/>
    <n v="48.2"/>
  </r>
  <r>
    <x v="1067"/>
    <d v="2025-02-24T00:00:00"/>
    <x v="1"/>
    <x v="1"/>
    <x v="1"/>
    <x v="3"/>
    <s v="Basic"/>
    <n v="0"/>
    <n v="0"/>
    <n v="0"/>
    <n v="0"/>
    <n v="0"/>
    <n v="1"/>
    <n v="0"/>
    <m/>
    <n v="57.6"/>
  </r>
  <r>
    <x v="1068"/>
    <d v="2025-02-11T00:00:00"/>
    <x v="1"/>
    <x v="0"/>
    <x v="1"/>
    <x v="1"/>
    <s v="Free"/>
    <n v="1"/>
    <n v="1"/>
    <n v="1"/>
    <n v="0"/>
    <n v="0"/>
    <n v="0"/>
    <n v="0"/>
    <m/>
    <n v="75.7"/>
  </r>
  <r>
    <x v="1069"/>
    <d v="2025-03-11T00:00:00"/>
    <x v="1"/>
    <x v="1"/>
    <x v="0"/>
    <x v="2"/>
    <s v="Free"/>
    <n v="1"/>
    <n v="0"/>
    <n v="0"/>
    <n v="0"/>
    <n v="0"/>
    <n v="2"/>
    <n v="0"/>
    <m/>
    <n v="48.6"/>
  </r>
  <r>
    <x v="1070"/>
    <d v="2025-04-11T00:00:00"/>
    <x v="1"/>
    <x v="2"/>
    <x v="2"/>
    <x v="3"/>
    <s v="Free"/>
    <n v="1"/>
    <n v="1"/>
    <n v="1"/>
    <n v="0"/>
    <n v="0"/>
    <n v="0"/>
    <n v="0"/>
    <m/>
    <n v="72"/>
  </r>
  <r>
    <x v="1071"/>
    <d v="2025-03-11T00:00:00"/>
    <x v="1"/>
    <x v="0"/>
    <x v="1"/>
    <x v="1"/>
    <s v="Free"/>
    <n v="0"/>
    <n v="0"/>
    <n v="0"/>
    <n v="0"/>
    <n v="0"/>
    <n v="0"/>
    <n v="0"/>
    <m/>
    <n v="72.2"/>
  </r>
  <r>
    <x v="1072"/>
    <d v="2025-05-22T00:00:00"/>
    <x v="1"/>
    <x v="2"/>
    <x v="1"/>
    <x v="3"/>
    <s v="Free"/>
    <n v="1"/>
    <n v="0"/>
    <n v="0"/>
    <n v="0"/>
    <n v="0"/>
    <n v="1"/>
    <n v="0"/>
    <m/>
    <m/>
  </r>
  <r>
    <x v="1073"/>
    <d v="2025-02-22T00:00:00"/>
    <x v="1"/>
    <x v="3"/>
    <x v="0"/>
    <x v="1"/>
    <s v="Free"/>
    <n v="1"/>
    <n v="1"/>
    <n v="1"/>
    <n v="1"/>
    <n v="331.53"/>
    <n v="2"/>
    <n v="0"/>
    <n v="4"/>
    <n v="56.8"/>
  </r>
  <r>
    <x v="1074"/>
    <d v="2025-01-13T00:00:00"/>
    <x v="1"/>
    <x v="2"/>
    <x v="1"/>
    <x v="2"/>
    <s v="Basic"/>
    <n v="1"/>
    <n v="0"/>
    <n v="0"/>
    <n v="0"/>
    <n v="0"/>
    <n v="0"/>
    <n v="0"/>
    <m/>
    <n v="62.5"/>
  </r>
  <r>
    <x v="1075"/>
    <d v="2025-05-19T00:00:00"/>
    <x v="1"/>
    <x v="3"/>
    <x v="1"/>
    <x v="1"/>
    <s v="Free"/>
    <n v="1"/>
    <n v="0"/>
    <n v="0"/>
    <n v="0"/>
    <n v="0"/>
    <n v="0"/>
    <n v="0"/>
    <m/>
    <n v="63.4"/>
  </r>
  <r>
    <x v="1076"/>
    <d v="2025-03-08T00:00:00"/>
    <x v="1"/>
    <x v="0"/>
    <x v="2"/>
    <x v="1"/>
    <s v="Basic"/>
    <n v="1"/>
    <n v="1"/>
    <n v="1"/>
    <n v="1"/>
    <n v="774.78"/>
    <n v="0"/>
    <n v="0"/>
    <n v="3"/>
    <n v="46.8"/>
  </r>
  <r>
    <x v="1077"/>
    <d v="2025-04-20T00:00:00"/>
    <x v="1"/>
    <x v="3"/>
    <x v="1"/>
    <x v="1"/>
    <s v="Free"/>
    <n v="1"/>
    <n v="1"/>
    <n v="1"/>
    <n v="1"/>
    <n v="422.02"/>
    <n v="0"/>
    <n v="0"/>
    <n v="8"/>
    <n v="86.5"/>
  </r>
  <r>
    <x v="1078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x v="1079"/>
    <d v="2025-05-10T00:00:00"/>
    <x v="1"/>
    <x v="3"/>
    <x v="1"/>
    <x v="1"/>
    <s v="Basic"/>
    <n v="1"/>
    <n v="0"/>
    <n v="0"/>
    <n v="0"/>
    <n v="0"/>
    <n v="0"/>
    <n v="0"/>
    <m/>
    <n v="64.5"/>
  </r>
  <r>
    <x v="1080"/>
    <d v="2025-03-28T00:00:00"/>
    <x v="1"/>
    <x v="2"/>
    <x v="1"/>
    <x v="1"/>
    <s v="Free"/>
    <n v="1"/>
    <n v="0"/>
    <n v="0"/>
    <n v="0"/>
    <n v="0"/>
    <n v="0"/>
    <n v="0"/>
    <m/>
    <n v="54.2"/>
  </r>
  <r>
    <x v="1081"/>
    <d v="2025-04-30T00:00:00"/>
    <x v="1"/>
    <x v="2"/>
    <x v="1"/>
    <x v="2"/>
    <s v="Premium"/>
    <n v="1"/>
    <n v="1"/>
    <n v="1"/>
    <n v="0"/>
    <n v="0"/>
    <n v="0"/>
    <n v="0"/>
    <m/>
    <n v="84.1"/>
  </r>
  <r>
    <x v="1082"/>
    <d v="2025-02-08T00:00:00"/>
    <x v="1"/>
    <x v="0"/>
    <x v="1"/>
    <x v="1"/>
    <s v="Basic"/>
    <n v="0"/>
    <n v="0"/>
    <n v="0"/>
    <n v="0"/>
    <n v="0"/>
    <n v="1"/>
    <n v="0"/>
    <m/>
    <n v="49.1"/>
  </r>
  <r>
    <x v="1083"/>
    <d v="2025-03-07T00:00:00"/>
    <x v="1"/>
    <x v="3"/>
    <x v="1"/>
    <x v="3"/>
    <s v="Premium"/>
    <n v="0"/>
    <n v="0"/>
    <n v="0"/>
    <n v="0"/>
    <n v="0"/>
    <n v="0"/>
    <n v="0"/>
    <m/>
    <n v="92.7"/>
  </r>
  <r>
    <x v="1084"/>
    <d v="2025-05-21T00:00:00"/>
    <x v="1"/>
    <x v="3"/>
    <x v="1"/>
    <x v="4"/>
    <s v="Basic"/>
    <n v="1"/>
    <n v="1"/>
    <n v="1"/>
    <n v="0"/>
    <n v="0"/>
    <n v="1"/>
    <n v="0"/>
    <m/>
    <n v="58.7"/>
  </r>
  <r>
    <x v="1085"/>
    <d v="2025-04-12T00:00:00"/>
    <x v="1"/>
    <x v="3"/>
    <x v="1"/>
    <x v="4"/>
    <s v="Free"/>
    <n v="1"/>
    <n v="1"/>
    <n v="1"/>
    <n v="0"/>
    <n v="0"/>
    <n v="0"/>
    <n v="0"/>
    <m/>
    <n v="59.3"/>
  </r>
  <r>
    <x v="1086"/>
    <d v="2025-02-02T00:00:00"/>
    <x v="1"/>
    <x v="3"/>
    <x v="1"/>
    <x v="2"/>
    <s v="Free"/>
    <n v="1"/>
    <n v="0"/>
    <n v="0"/>
    <n v="0"/>
    <n v="0"/>
    <n v="0"/>
    <n v="0"/>
    <m/>
    <n v="62"/>
  </r>
  <r>
    <x v="1087"/>
    <d v="2025-04-22T00:00:00"/>
    <x v="1"/>
    <x v="0"/>
    <x v="2"/>
    <x v="3"/>
    <s v="Free"/>
    <n v="1"/>
    <n v="1"/>
    <n v="1"/>
    <n v="0"/>
    <n v="0"/>
    <n v="1"/>
    <n v="0"/>
    <m/>
    <n v="60.3"/>
  </r>
  <r>
    <x v="1088"/>
    <d v="2025-02-08T00:00:00"/>
    <x v="1"/>
    <x v="0"/>
    <x v="1"/>
    <x v="4"/>
    <s v="Basic"/>
    <n v="1"/>
    <n v="0"/>
    <n v="0"/>
    <n v="0"/>
    <n v="0"/>
    <n v="0"/>
    <n v="0"/>
    <m/>
    <n v="70.5"/>
  </r>
  <r>
    <x v="1089"/>
    <d v="2025-01-24T00:00:00"/>
    <x v="1"/>
    <x v="3"/>
    <x v="0"/>
    <x v="0"/>
    <s v="Free"/>
    <n v="1"/>
    <n v="0"/>
    <n v="0"/>
    <n v="0"/>
    <n v="0"/>
    <n v="0"/>
    <n v="0"/>
    <m/>
    <n v="36.799999999999997"/>
  </r>
  <r>
    <x v="1090"/>
    <d v="2025-05-12T00:00:00"/>
    <x v="1"/>
    <x v="3"/>
    <x v="1"/>
    <x v="2"/>
    <s v="Basic"/>
    <n v="0"/>
    <n v="0"/>
    <n v="0"/>
    <n v="0"/>
    <n v="0"/>
    <n v="1"/>
    <n v="0"/>
    <m/>
    <n v="73.2"/>
  </r>
  <r>
    <x v="1091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x v="1092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x v="1093"/>
    <d v="2025-03-21T00:00:00"/>
    <x v="1"/>
    <x v="3"/>
    <x v="2"/>
    <x v="0"/>
    <s v="Basic"/>
    <n v="0"/>
    <n v="0"/>
    <n v="0"/>
    <n v="0"/>
    <n v="0"/>
    <n v="0"/>
    <n v="0"/>
    <m/>
    <n v="46.4"/>
  </r>
  <r>
    <x v="1094"/>
    <d v="2025-01-25T00:00:00"/>
    <x v="1"/>
    <x v="1"/>
    <x v="1"/>
    <x v="1"/>
    <s v="Free"/>
    <n v="1"/>
    <n v="1"/>
    <n v="1"/>
    <n v="0"/>
    <n v="0"/>
    <n v="1"/>
    <n v="0"/>
    <m/>
    <n v="81.3"/>
  </r>
  <r>
    <x v="1095"/>
    <d v="2025-01-12T00:00:00"/>
    <x v="1"/>
    <x v="3"/>
    <x v="2"/>
    <x v="4"/>
    <s v="Free"/>
    <n v="1"/>
    <n v="1"/>
    <n v="1"/>
    <n v="0"/>
    <n v="0"/>
    <n v="0"/>
    <n v="0"/>
    <m/>
    <n v="55.3"/>
  </r>
  <r>
    <x v="1096"/>
    <d v="2025-03-18T00:00:00"/>
    <x v="1"/>
    <x v="2"/>
    <x v="0"/>
    <x v="3"/>
    <s v="Free"/>
    <n v="1"/>
    <n v="0"/>
    <n v="0"/>
    <n v="0"/>
    <n v="0"/>
    <n v="0"/>
    <n v="0"/>
    <m/>
    <n v="44.7"/>
  </r>
  <r>
    <x v="1097"/>
    <d v="2025-03-26T00:00:00"/>
    <x v="1"/>
    <x v="2"/>
    <x v="1"/>
    <x v="2"/>
    <s v="Basic"/>
    <n v="1"/>
    <n v="0"/>
    <n v="0"/>
    <n v="0"/>
    <n v="0"/>
    <n v="0"/>
    <n v="0"/>
    <m/>
    <n v="67.2"/>
  </r>
  <r>
    <x v="1098"/>
    <d v="2025-04-19T00:00:00"/>
    <x v="1"/>
    <x v="0"/>
    <x v="1"/>
    <x v="2"/>
    <s v="Basic"/>
    <n v="1"/>
    <n v="0"/>
    <n v="0"/>
    <n v="0"/>
    <n v="0"/>
    <n v="0"/>
    <n v="0"/>
    <m/>
    <m/>
  </r>
  <r>
    <x v="1099"/>
    <d v="2025-04-17T00:00:00"/>
    <x v="1"/>
    <x v="2"/>
    <x v="1"/>
    <x v="1"/>
    <s v="Premium"/>
    <n v="1"/>
    <n v="1"/>
    <n v="1"/>
    <n v="0"/>
    <n v="0"/>
    <n v="1"/>
    <n v="0"/>
    <m/>
    <n v="70.8"/>
  </r>
  <r>
    <x v="1100"/>
    <d v="2025-05-26T00:00:00"/>
    <x v="1"/>
    <x v="3"/>
    <x v="1"/>
    <x v="2"/>
    <s v="Free"/>
    <n v="1"/>
    <n v="0"/>
    <n v="0"/>
    <n v="0"/>
    <n v="0"/>
    <n v="0"/>
    <n v="0"/>
    <m/>
    <n v="71.3"/>
  </r>
  <r>
    <x v="1101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x v="1102"/>
    <d v="2025-01-23T00:00:00"/>
    <x v="1"/>
    <x v="3"/>
    <x v="1"/>
    <x v="1"/>
    <s v="Basic"/>
    <n v="1"/>
    <n v="1"/>
    <n v="0"/>
    <n v="0"/>
    <n v="0"/>
    <n v="0"/>
    <n v="0"/>
    <m/>
    <n v="58.9"/>
  </r>
  <r>
    <x v="1103"/>
    <d v="2025-01-06T00:00:00"/>
    <x v="1"/>
    <x v="2"/>
    <x v="1"/>
    <x v="3"/>
    <s v="Free"/>
    <n v="0"/>
    <n v="0"/>
    <n v="0"/>
    <n v="0"/>
    <n v="0"/>
    <n v="0"/>
    <n v="0"/>
    <m/>
    <n v="70.7"/>
  </r>
  <r>
    <x v="1104"/>
    <d v="2025-05-31T00:00:00"/>
    <x v="1"/>
    <x v="1"/>
    <x v="1"/>
    <x v="0"/>
    <s v="Basic"/>
    <n v="1"/>
    <n v="0"/>
    <n v="0"/>
    <n v="0"/>
    <n v="0"/>
    <n v="0"/>
    <n v="0"/>
    <m/>
    <n v="60.5"/>
  </r>
  <r>
    <x v="1105"/>
    <d v="2025-05-19T00:00:00"/>
    <x v="1"/>
    <x v="0"/>
    <x v="1"/>
    <x v="1"/>
    <s v="Basic"/>
    <n v="1"/>
    <n v="1"/>
    <n v="1"/>
    <n v="0"/>
    <n v="0"/>
    <n v="0"/>
    <n v="0"/>
    <m/>
    <n v="77.3"/>
  </r>
  <r>
    <x v="1106"/>
    <d v="2025-02-25T00:00:00"/>
    <x v="1"/>
    <x v="0"/>
    <x v="1"/>
    <x v="1"/>
    <s v="Free"/>
    <n v="0"/>
    <n v="0"/>
    <n v="0"/>
    <n v="0"/>
    <n v="0"/>
    <n v="1"/>
    <n v="0"/>
    <m/>
    <n v="39.5"/>
  </r>
  <r>
    <x v="1107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x v="1108"/>
    <d v="2025-05-13T00:00:00"/>
    <x v="1"/>
    <x v="0"/>
    <x v="2"/>
    <x v="2"/>
    <s v="Free"/>
    <n v="0"/>
    <n v="0"/>
    <n v="0"/>
    <n v="0"/>
    <n v="0"/>
    <n v="0"/>
    <n v="0"/>
    <m/>
    <n v="80.3"/>
  </r>
  <r>
    <x v="1109"/>
    <d v="2025-04-27T00:00:00"/>
    <x v="1"/>
    <x v="1"/>
    <x v="0"/>
    <x v="1"/>
    <s v="Premium"/>
    <n v="1"/>
    <n v="0"/>
    <n v="0"/>
    <n v="0"/>
    <n v="0"/>
    <n v="0"/>
    <n v="0"/>
    <m/>
    <n v="77.7"/>
  </r>
  <r>
    <x v="1110"/>
    <d v="2025-04-03T00:00:00"/>
    <x v="1"/>
    <x v="3"/>
    <x v="1"/>
    <x v="1"/>
    <s v="Free"/>
    <n v="1"/>
    <n v="0"/>
    <n v="0"/>
    <n v="0"/>
    <n v="0"/>
    <n v="1"/>
    <n v="0"/>
    <m/>
    <n v="66.2"/>
  </r>
  <r>
    <x v="1111"/>
    <d v="2025-03-26T00:00:00"/>
    <x v="1"/>
    <x v="3"/>
    <x v="1"/>
    <x v="1"/>
    <s v="Free"/>
    <n v="1"/>
    <n v="1"/>
    <n v="1"/>
    <n v="0"/>
    <n v="0"/>
    <n v="1"/>
    <n v="0"/>
    <m/>
    <n v="43.9"/>
  </r>
  <r>
    <x v="1112"/>
    <d v="2025-01-31T00:00:00"/>
    <x v="1"/>
    <x v="3"/>
    <x v="1"/>
    <x v="1"/>
    <s v="Basic"/>
    <n v="1"/>
    <n v="1"/>
    <n v="1"/>
    <n v="0"/>
    <n v="0"/>
    <n v="2"/>
    <n v="0"/>
    <m/>
    <n v="59.1"/>
  </r>
  <r>
    <x v="1113"/>
    <d v="2025-01-25T00:00:00"/>
    <x v="1"/>
    <x v="3"/>
    <x v="1"/>
    <x v="4"/>
    <s v="Free"/>
    <n v="1"/>
    <n v="1"/>
    <n v="1"/>
    <n v="1"/>
    <n v="416.94"/>
    <n v="1"/>
    <n v="0"/>
    <n v="11"/>
    <n v="67"/>
  </r>
  <r>
    <x v="1114"/>
    <d v="2025-02-06T00:00:00"/>
    <x v="1"/>
    <x v="1"/>
    <x v="1"/>
    <x v="3"/>
    <s v="Basic"/>
    <n v="1"/>
    <n v="0"/>
    <n v="0"/>
    <n v="0"/>
    <n v="0"/>
    <n v="0"/>
    <n v="0"/>
    <m/>
    <n v="47.9"/>
  </r>
  <r>
    <x v="1115"/>
    <d v="2025-03-10T00:00:00"/>
    <x v="1"/>
    <x v="2"/>
    <x v="1"/>
    <x v="2"/>
    <s v="Free"/>
    <n v="1"/>
    <n v="1"/>
    <n v="0"/>
    <n v="0"/>
    <n v="0"/>
    <n v="0"/>
    <n v="0"/>
    <m/>
    <n v="41.5"/>
  </r>
  <r>
    <x v="1116"/>
    <d v="2025-01-26T00:00:00"/>
    <x v="1"/>
    <x v="1"/>
    <x v="1"/>
    <x v="1"/>
    <s v="Basic"/>
    <n v="1"/>
    <n v="1"/>
    <n v="1"/>
    <n v="0"/>
    <n v="0"/>
    <n v="3"/>
    <n v="0"/>
    <m/>
    <n v="30.6"/>
  </r>
  <r>
    <x v="1117"/>
    <d v="2025-01-01T00:00:00"/>
    <x v="1"/>
    <x v="2"/>
    <x v="1"/>
    <x v="2"/>
    <s v="Free"/>
    <n v="1"/>
    <n v="1"/>
    <n v="0"/>
    <n v="0"/>
    <n v="0"/>
    <n v="0"/>
    <n v="0"/>
    <m/>
    <n v="91.5"/>
  </r>
  <r>
    <x v="1118"/>
    <d v="2025-04-28T00:00:00"/>
    <x v="1"/>
    <x v="0"/>
    <x v="0"/>
    <x v="4"/>
    <s v="Basic"/>
    <n v="1"/>
    <n v="0"/>
    <n v="0"/>
    <n v="0"/>
    <n v="0"/>
    <n v="0"/>
    <n v="0"/>
    <m/>
    <n v="80.8"/>
  </r>
  <r>
    <x v="1119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x v="1120"/>
    <d v="2025-03-02T00:00:00"/>
    <x v="1"/>
    <x v="2"/>
    <x v="1"/>
    <x v="2"/>
    <s v="Free"/>
    <n v="1"/>
    <n v="0"/>
    <n v="0"/>
    <n v="0"/>
    <n v="0"/>
    <n v="0"/>
    <n v="0"/>
    <m/>
    <n v="80.3"/>
  </r>
  <r>
    <x v="1121"/>
    <d v="2025-03-19T00:00:00"/>
    <x v="1"/>
    <x v="3"/>
    <x v="2"/>
    <x v="1"/>
    <s v="Basic"/>
    <n v="1"/>
    <n v="0"/>
    <n v="0"/>
    <n v="0"/>
    <n v="0"/>
    <n v="0"/>
    <n v="0"/>
    <m/>
    <n v="44.4"/>
  </r>
  <r>
    <x v="1122"/>
    <d v="2025-01-20T00:00:00"/>
    <x v="1"/>
    <x v="3"/>
    <x v="0"/>
    <x v="1"/>
    <s v="Basic"/>
    <n v="0"/>
    <n v="0"/>
    <n v="0"/>
    <n v="0"/>
    <n v="0"/>
    <n v="0"/>
    <n v="0"/>
    <m/>
    <n v="51.9"/>
  </r>
  <r>
    <x v="1123"/>
    <d v="2025-04-03T00:00:00"/>
    <x v="1"/>
    <x v="2"/>
    <x v="1"/>
    <x v="2"/>
    <s v="Free"/>
    <n v="1"/>
    <n v="1"/>
    <n v="0"/>
    <n v="0"/>
    <n v="0"/>
    <n v="0"/>
    <n v="0"/>
    <m/>
    <n v="49.8"/>
  </r>
  <r>
    <x v="1124"/>
    <d v="2025-01-11T00:00:00"/>
    <x v="1"/>
    <x v="2"/>
    <x v="0"/>
    <x v="4"/>
    <s v="Free"/>
    <n v="1"/>
    <n v="1"/>
    <n v="1"/>
    <n v="0"/>
    <n v="0"/>
    <n v="3"/>
    <n v="0"/>
    <m/>
    <n v="62.1"/>
  </r>
  <r>
    <x v="1125"/>
    <d v="2025-02-02T00:00:00"/>
    <x v="1"/>
    <x v="1"/>
    <x v="0"/>
    <x v="4"/>
    <s v="Basic"/>
    <n v="1"/>
    <n v="0"/>
    <n v="0"/>
    <n v="0"/>
    <n v="0"/>
    <n v="0"/>
    <n v="0"/>
    <m/>
    <n v="91.3"/>
  </r>
  <r>
    <x v="1126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x v="1127"/>
    <d v="2025-05-22T00:00:00"/>
    <x v="1"/>
    <x v="2"/>
    <x v="1"/>
    <x v="1"/>
    <s v="Basic"/>
    <n v="1"/>
    <n v="0"/>
    <n v="0"/>
    <n v="0"/>
    <n v="0"/>
    <n v="0"/>
    <n v="0"/>
    <m/>
    <n v="41.5"/>
  </r>
  <r>
    <x v="1128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x v="1129"/>
    <d v="2025-03-21T00:00:00"/>
    <x v="1"/>
    <x v="1"/>
    <x v="1"/>
    <x v="1"/>
    <s v="Free"/>
    <n v="1"/>
    <n v="0"/>
    <n v="0"/>
    <n v="0"/>
    <n v="0"/>
    <n v="0"/>
    <n v="0"/>
    <m/>
    <n v="63.2"/>
  </r>
  <r>
    <x v="1130"/>
    <d v="2025-05-01T00:00:00"/>
    <x v="1"/>
    <x v="1"/>
    <x v="0"/>
    <x v="3"/>
    <s v="Free"/>
    <n v="1"/>
    <n v="1"/>
    <n v="1"/>
    <n v="0"/>
    <n v="0"/>
    <n v="3"/>
    <n v="0"/>
    <m/>
    <n v="75.7"/>
  </r>
  <r>
    <x v="1131"/>
    <d v="2025-01-06T00:00:00"/>
    <x v="1"/>
    <x v="1"/>
    <x v="1"/>
    <x v="2"/>
    <s v="Basic"/>
    <n v="0"/>
    <n v="0"/>
    <n v="0"/>
    <n v="0"/>
    <n v="0"/>
    <n v="0"/>
    <n v="0"/>
    <m/>
    <n v="62.9"/>
  </r>
  <r>
    <x v="1132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x v="1133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x v="1134"/>
    <d v="2025-03-24T00:00:00"/>
    <x v="1"/>
    <x v="2"/>
    <x v="1"/>
    <x v="4"/>
    <s v="Basic"/>
    <n v="1"/>
    <n v="0"/>
    <n v="0"/>
    <n v="0"/>
    <n v="0"/>
    <n v="0"/>
    <n v="0"/>
    <m/>
    <n v="74.8"/>
  </r>
  <r>
    <x v="1135"/>
    <d v="2025-03-18T00:00:00"/>
    <x v="1"/>
    <x v="2"/>
    <x v="0"/>
    <x v="0"/>
    <s v="Premium"/>
    <n v="1"/>
    <n v="0"/>
    <n v="0"/>
    <n v="0"/>
    <n v="0"/>
    <n v="2"/>
    <n v="0"/>
    <m/>
    <n v="38.1"/>
  </r>
  <r>
    <x v="1136"/>
    <d v="2025-04-30T00:00:00"/>
    <x v="1"/>
    <x v="3"/>
    <x v="2"/>
    <x v="2"/>
    <s v="Basic"/>
    <n v="1"/>
    <n v="1"/>
    <n v="0"/>
    <n v="0"/>
    <n v="0"/>
    <n v="0"/>
    <n v="0"/>
    <m/>
    <n v="60.2"/>
  </r>
  <r>
    <x v="1137"/>
    <d v="2025-01-25T00:00:00"/>
    <x v="1"/>
    <x v="1"/>
    <x v="1"/>
    <x v="0"/>
    <s v="Free"/>
    <n v="1"/>
    <n v="1"/>
    <n v="0"/>
    <n v="0"/>
    <n v="0"/>
    <n v="0"/>
    <n v="0"/>
    <m/>
    <n v="73.5"/>
  </r>
  <r>
    <x v="1138"/>
    <d v="2025-04-10T00:00:00"/>
    <x v="1"/>
    <x v="3"/>
    <x v="1"/>
    <x v="1"/>
    <s v="Free"/>
    <n v="1"/>
    <n v="0"/>
    <n v="0"/>
    <n v="0"/>
    <n v="0"/>
    <n v="0"/>
    <n v="0"/>
    <m/>
    <n v="70.900000000000006"/>
  </r>
  <r>
    <x v="1139"/>
    <d v="2025-01-10T00:00:00"/>
    <x v="1"/>
    <x v="1"/>
    <x v="1"/>
    <x v="4"/>
    <s v="Free"/>
    <n v="1"/>
    <n v="0"/>
    <n v="0"/>
    <n v="0"/>
    <n v="0"/>
    <n v="0"/>
    <n v="0"/>
    <m/>
    <n v="63.7"/>
  </r>
  <r>
    <x v="1140"/>
    <d v="2025-02-11T00:00:00"/>
    <x v="1"/>
    <x v="3"/>
    <x v="1"/>
    <x v="2"/>
    <s v="Free"/>
    <n v="1"/>
    <n v="0"/>
    <n v="0"/>
    <n v="0"/>
    <n v="0"/>
    <n v="0"/>
    <n v="0"/>
    <m/>
    <n v="86.5"/>
  </r>
  <r>
    <x v="1141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x v="1142"/>
    <d v="2025-01-18T00:00:00"/>
    <x v="1"/>
    <x v="2"/>
    <x v="1"/>
    <x v="1"/>
    <s v="Free"/>
    <n v="1"/>
    <n v="0"/>
    <n v="0"/>
    <n v="0"/>
    <n v="0"/>
    <n v="0"/>
    <n v="0"/>
    <m/>
    <n v="46.6"/>
  </r>
  <r>
    <x v="1143"/>
    <d v="2025-01-02T00:00:00"/>
    <x v="1"/>
    <x v="0"/>
    <x v="1"/>
    <x v="2"/>
    <s v="Free"/>
    <n v="0"/>
    <n v="0"/>
    <n v="0"/>
    <n v="0"/>
    <n v="0"/>
    <n v="0"/>
    <n v="0"/>
    <m/>
    <n v="61.2"/>
  </r>
  <r>
    <x v="1144"/>
    <d v="2025-05-11T00:00:00"/>
    <x v="1"/>
    <x v="1"/>
    <x v="1"/>
    <x v="1"/>
    <s v="Free"/>
    <n v="1"/>
    <n v="1"/>
    <n v="1"/>
    <n v="1"/>
    <n v="290.39"/>
    <n v="0"/>
    <n v="0"/>
    <n v="4"/>
    <n v="54.4"/>
  </r>
  <r>
    <x v="1145"/>
    <d v="2025-03-22T00:00:00"/>
    <x v="1"/>
    <x v="0"/>
    <x v="1"/>
    <x v="3"/>
    <s v="Free"/>
    <n v="1"/>
    <n v="1"/>
    <n v="1"/>
    <n v="0"/>
    <n v="0"/>
    <n v="0"/>
    <n v="0"/>
    <m/>
    <n v="72"/>
  </r>
  <r>
    <x v="1146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x v="1147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x v="1148"/>
    <d v="2025-03-13T00:00:00"/>
    <x v="1"/>
    <x v="3"/>
    <x v="1"/>
    <x v="1"/>
    <s v="Basic"/>
    <n v="1"/>
    <n v="0"/>
    <n v="0"/>
    <n v="0"/>
    <n v="0"/>
    <n v="1"/>
    <n v="0"/>
    <m/>
    <n v="44.3"/>
  </r>
  <r>
    <x v="1149"/>
    <d v="2025-05-17T00:00:00"/>
    <x v="1"/>
    <x v="3"/>
    <x v="0"/>
    <x v="2"/>
    <s v="Free"/>
    <n v="1"/>
    <n v="1"/>
    <n v="0"/>
    <n v="0"/>
    <n v="0"/>
    <n v="0"/>
    <n v="0"/>
    <m/>
    <n v="49"/>
  </r>
  <r>
    <x v="1150"/>
    <d v="2025-03-13T00:00:00"/>
    <x v="1"/>
    <x v="0"/>
    <x v="0"/>
    <x v="3"/>
    <s v="Premium"/>
    <n v="1"/>
    <n v="0"/>
    <n v="0"/>
    <n v="0"/>
    <n v="0"/>
    <n v="0"/>
    <n v="0"/>
    <m/>
    <n v="53.9"/>
  </r>
  <r>
    <x v="1151"/>
    <d v="2025-02-11T00:00:00"/>
    <x v="1"/>
    <x v="2"/>
    <x v="0"/>
    <x v="1"/>
    <s v="Basic"/>
    <n v="1"/>
    <n v="0"/>
    <n v="0"/>
    <n v="0"/>
    <n v="0"/>
    <n v="1"/>
    <n v="0"/>
    <m/>
    <n v="69"/>
  </r>
  <r>
    <x v="1152"/>
    <d v="2025-03-01T00:00:00"/>
    <x v="1"/>
    <x v="1"/>
    <x v="1"/>
    <x v="4"/>
    <s v="Free"/>
    <n v="0"/>
    <n v="0"/>
    <n v="0"/>
    <n v="0"/>
    <n v="0"/>
    <n v="0"/>
    <n v="0"/>
    <m/>
    <n v="37.4"/>
  </r>
  <r>
    <x v="1153"/>
    <d v="2025-04-15T00:00:00"/>
    <x v="1"/>
    <x v="1"/>
    <x v="1"/>
    <x v="1"/>
    <s v="Basic"/>
    <n v="0"/>
    <n v="0"/>
    <n v="0"/>
    <n v="0"/>
    <n v="0"/>
    <n v="0"/>
    <n v="0"/>
    <m/>
    <n v="59"/>
  </r>
  <r>
    <x v="1154"/>
    <d v="2025-02-02T00:00:00"/>
    <x v="1"/>
    <x v="2"/>
    <x v="1"/>
    <x v="1"/>
    <s v="Premium"/>
    <n v="1"/>
    <n v="0"/>
    <n v="0"/>
    <n v="0"/>
    <n v="0"/>
    <n v="0"/>
    <n v="0"/>
    <m/>
    <n v="60.8"/>
  </r>
  <r>
    <x v="1155"/>
    <d v="2025-05-19T00:00:00"/>
    <x v="1"/>
    <x v="3"/>
    <x v="1"/>
    <x v="0"/>
    <s v="Free"/>
    <n v="1"/>
    <n v="0"/>
    <n v="0"/>
    <n v="0"/>
    <n v="0"/>
    <n v="0"/>
    <n v="0"/>
    <m/>
    <n v="57.5"/>
  </r>
  <r>
    <x v="1156"/>
    <d v="2025-01-05T00:00:00"/>
    <x v="1"/>
    <x v="1"/>
    <x v="1"/>
    <x v="3"/>
    <s v="Free"/>
    <n v="0"/>
    <n v="0"/>
    <n v="0"/>
    <n v="0"/>
    <n v="0"/>
    <n v="0"/>
    <n v="0"/>
    <m/>
    <n v="84.2"/>
  </r>
  <r>
    <x v="1157"/>
    <d v="2025-03-08T00:00:00"/>
    <x v="1"/>
    <x v="3"/>
    <x v="1"/>
    <x v="2"/>
    <s v="Free"/>
    <n v="1"/>
    <n v="1"/>
    <n v="0"/>
    <n v="0"/>
    <n v="0"/>
    <n v="0"/>
    <n v="0"/>
    <m/>
    <n v="27.4"/>
  </r>
  <r>
    <x v="1158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x v="1159"/>
    <d v="2025-01-24T00:00:00"/>
    <x v="1"/>
    <x v="1"/>
    <x v="1"/>
    <x v="1"/>
    <s v="Free"/>
    <n v="0"/>
    <n v="0"/>
    <n v="0"/>
    <n v="0"/>
    <n v="0"/>
    <n v="0"/>
    <n v="0"/>
    <m/>
    <n v="68.400000000000006"/>
  </r>
  <r>
    <x v="1160"/>
    <d v="2025-05-22T00:00:00"/>
    <x v="1"/>
    <x v="3"/>
    <x v="1"/>
    <x v="2"/>
    <s v="Basic"/>
    <n v="1"/>
    <n v="1"/>
    <n v="1"/>
    <n v="0"/>
    <n v="0"/>
    <n v="0"/>
    <n v="0"/>
    <m/>
    <n v="66.5"/>
  </r>
  <r>
    <x v="1161"/>
    <d v="2025-03-27T00:00:00"/>
    <x v="1"/>
    <x v="3"/>
    <x v="1"/>
    <x v="2"/>
    <s v="Free"/>
    <n v="1"/>
    <n v="0"/>
    <n v="0"/>
    <n v="0"/>
    <n v="0"/>
    <n v="0"/>
    <n v="0"/>
    <m/>
    <n v="38.200000000000003"/>
  </r>
  <r>
    <x v="1162"/>
    <d v="2025-01-02T00:00:00"/>
    <x v="1"/>
    <x v="1"/>
    <x v="1"/>
    <x v="4"/>
    <s v="Free"/>
    <n v="0"/>
    <n v="0"/>
    <n v="0"/>
    <n v="0"/>
    <n v="0"/>
    <n v="1"/>
    <n v="0"/>
    <m/>
    <n v="66.7"/>
  </r>
  <r>
    <x v="1163"/>
    <d v="2025-02-24T00:00:00"/>
    <x v="1"/>
    <x v="0"/>
    <x v="1"/>
    <x v="2"/>
    <s v="Free"/>
    <n v="0"/>
    <n v="0"/>
    <n v="0"/>
    <n v="0"/>
    <n v="0"/>
    <n v="1"/>
    <n v="0"/>
    <m/>
    <n v="73.7"/>
  </r>
  <r>
    <x v="1164"/>
    <d v="2025-03-01T00:00:00"/>
    <x v="1"/>
    <x v="1"/>
    <x v="0"/>
    <x v="1"/>
    <s v="Basic"/>
    <n v="1"/>
    <n v="1"/>
    <n v="1"/>
    <n v="0"/>
    <n v="0"/>
    <n v="0"/>
    <n v="0"/>
    <m/>
    <n v="63.9"/>
  </r>
  <r>
    <x v="1165"/>
    <d v="2025-03-26T00:00:00"/>
    <x v="1"/>
    <x v="3"/>
    <x v="2"/>
    <x v="1"/>
    <s v="Basic"/>
    <n v="1"/>
    <n v="0"/>
    <n v="0"/>
    <n v="0"/>
    <n v="0"/>
    <n v="1"/>
    <n v="0"/>
    <m/>
    <n v="82.6"/>
  </r>
  <r>
    <x v="1166"/>
    <d v="2025-05-25T00:00:00"/>
    <x v="1"/>
    <x v="2"/>
    <x v="1"/>
    <x v="2"/>
    <s v="Free"/>
    <n v="0"/>
    <n v="0"/>
    <n v="0"/>
    <n v="0"/>
    <n v="0"/>
    <n v="1"/>
    <n v="0"/>
    <m/>
    <n v="58.3"/>
  </r>
  <r>
    <x v="1167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x v="1"/>
    <x v="4"/>
    <s v="Free"/>
    <n v="1"/>
    <n v="1"/>
    <n v="1"/>
    <n v="0"/>
    <n v="0"/>
    <n v="2"/>
    <n v="0"/>
    <m/>
    <n v="53.5"/>
  </r>
  <r>
    <x v="1169"/>
    <d v="2025-04-21T00:00:00"/>
    <x v="1"/>
    <x v="1"/>
    <x v="1"/>
    <x v="3"/>
    <s v="Free"/>
    <n v="1"/>
    <n v="0"/>
    <n v="0"/>
    <n v="0"/>
    <n v="0"/>
    <n v="0"/>
    <n v="0"/>
    <m/>
    <n v="54.8"/>
  </r>
  <r>
    <x v="1170"/>
    <d v="2025-05-21T00:00:00"/>
    <x v="1"/>
    <x v="0"/>
    <x v="1"/>
    <x v="1"/>
    <s v="Premium"/>
    <n v="1"/>
    <n v="0"/>
    <n v="0"/>
    <n v="0"/>
    <n v="0"/>
    <n v="0"/>
    <n v="0"/>
    <m/>
    <n v="69.5"/>
  </r>
  <r>
    <x v="1171"/>
    <d v="2025-04-25T00:00:00"/>
    <x v="1"/>
    <x v="0"/>
    <x v="0"/>
    <x v="4"/>
    <s v="Free"/>
    <n v="1"/>
    <n v="0"/>
    <n v="0"/>
    <n v="0"/>
    <n v="0"/>
    <n v="1"/>
    <n v="0"/>
    <m/>
    <n v="71.3"/>
  </r>
  <r>
    <x v="1172"/>
    <d v="2025-05-23T00:00:00"/>
    <x v="1"/>
    <x v="1"/>
    <x v="1"/>
    <x v="3"/>
    <s v="Basic"/>
    <n v="1"/>
    <n v="0"/>
    <n v="0"/>
    <n v="0"/>
    <n v="0"/>
    <n v="1"/>
    <n v="0"/>
    <m/>
    <n v="57.5"/>
  </r>
  <r>
    <x v="1173"/>
    <d v="2025-03-18T00:00:00"/>
    <x v="1"/>
    <x v="3"/>
    <x v="1"/>
    <x v="0"/>
    <s v="Free"/>
    <n v="1"/>
    <n v="0"/>
    <n v="0"/>
    <n v="0"/>
    <n v="0"/>
    <n v="4"/>
    <n v="0"/>
    <m/>
    <n v="50.9"/>
  </r>
  <r>
    <x v="1174"/>
    <d v="2025-01-03T00:00:00"/>
    <x v="1"/>
    <x v="3"/>
    <x v="2"/>
    <x v="1"/>
    <s v="Free"/>
    <n v="1"/>
    <n v="1"/>
    <n v="1"/>
    <n v="0"/>
    <n v="0"/>
    <n v="0"/>
    <n v="0"/>
    <m/>
    <n v="69.3"/>
  </r>
  <r>
    <x v="1175"/>
    <d v="2025-02-08T00:00:00"/>
    <x v="1"/>
    <x v="1"/>
    <x v="0"/>
    <x v="1"/>
    <s v="Free"/>
    <n v="1"/>
    <n v="0"/>
    <n v="0"/>
    <n v="0"/>
    <n v="0"/>
    <n v="0"/>
    <n v="0"/>
    <m/>
    <n v="50.1"/>
  </r>
  <r>
    <x v="1176"/>
    <d v="2025-02-04T00:00:00"/>
    <x v="1"/>
    <x v="2"/>
    <x v="3"/>
    <x v="2"/>
    <s v="Basic"/>
    <n v="0"/>
    <n v="0"/>
    <n v="0"/>
    <n v="0"/>
    <n v="0"/>
    <n v="0"/>
    <n v="0"/>
    <m/>
    <n v="69.7"/>
  </r>
  <r>
    <x v="1177"/>
    <d v="2025-01-16T00:00:00"/>
    <x v="1"/>
    <x v="0"/>
    <x v="1"/>
    <x v="2"/>
    <s v="Free"/>
    <n v="0"/>
    <n v="0"/>
    <n v="0"/>
    <n v="0"/>
    <n v="0"/>
    <n v="0"/>
    <n v="0"/>
    <m/>
    <n v="63.5"/>
  </r>
  <r>
    <x v="1178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x v="0"/>
    <x v="2"/>
    <s v="Free"/>
    <n v="0"/>
    <n v="0"/>
    <n v="0"/>
    <n v="0"/>
    <n v="0"/>
    <n v="0"/>
    <n v="0"/>
    <m/>
    <n v="58.9"/>
  </r>
  <r>
    <x v="1180"/>
    <d v="2025-03-22T00:00:00"/>
    <x v="1"/>
    <x v="3"/>
    <x v="0"/>
    <x v="2"/>
    <s v="Free"/>
    <n v="1"/>
    <n v="0"/>
    <n v="0"/>
    <n v="0"/>
    <n v="0"/>
    <n v="0"/>
    <n v="0"/>
    <m/>
    <n v="56.8"/>
  </r>
  <r>
    <x v="1181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x v="1182"/>
    <d v="2025-01-31T00:00:00"/>
    <x v="1"/>
    <x v="0"/>
    <x v="0"/>
    <x v="2"/>
    <s v="Free"/>
    <n v="0"/>
    <n v="0"/>
    <n v="0"/>
    <n v="0"/>
    <n v="0"/>
    <n v="0"/>
    <n v="0"/>
    <m/>
    <n v="76.3"/>
  </r>
  <r>
    <x v="1183"/>
    <d v="2025-05-27T00:00:00"/>
    <x v="1"/>
    <x v="1"/>
    <x v="1"/>
    <x v="1"/>
    <s v="Basic"/>
    <n v="1"/>
    <n v="0"/>
    <n v="0"/>
    <n v="0"/>
    <n v="0"/>
    <n v="0"/>
    <n v="0"/>
    <m/>
    <n v="56.9"/>
  </r>
  <r>
    <x v="1184"/>
    <d v="2025-05-07T00:00:00"/>
    <x v="1"/>
    <x v="0"/>
    <x v="1"/>
    <x v="1"/>
    <s v="Premium"/>
    <n v="1"/>
    <n v="0"/>
    <n v="0"/>
    <n v="0"/>
    <n v="0"/>
    <n v="2"/>
    <n v="0"/>
    <m/>
    <n v="49.4"/>
  </r>
  <r>
    <x v="1185"/>
    <d v="2025-05-08T00:00:00"/>
    <x v="1"/>
    <x v="0"/>
    <x v="0"/>
    <x v="2"/>
    <s v="Basic"/>
    <n v="1"/>
    <n v="0"/>
    <n v="0"/>
    <n v="0"/>
    <n v="0"/>
    <n v="0"/>
    <n v="0"/>
    <m/>
    <n v="86.7"/>
  </r>
  <r>
    <x v="1186"/>
    <d v="2025-01-15T00:00:00"/>
    <x v="1"/>
    <x v="1"/>
    <x v="0"/>
    <x v="0"/>
    <s v="Free"/>
    <n v="1"/>
    <n v="0"/>
    <n v="0"/>
    <n v="0"/>
    <n v="0"/>
    <n v="3"/>
    <n v="0"/>
    <m/>
    <n v="69"/>
  </r>
  <r>
    <x v="1187"/>
    <d v="2025-01-18T00:00:00"/>
    <x v="1"/>
    <x v="0"/>
    <x v="1"/>
    <x v="2"/>
    <s v="Free"/>
    <n v="0"/>
    <n v="0"/>
    <n v="0"/>
    <n v="0"/>
    <n v="0"/>
    <n v="0"/>
    <n v="0"/>
    <m/>
    <n v="84.5"/>
  </r>
  <r>
    <x v="1188"/>
    <d v="2025-04-16T00:00:00"/>
    <x v="1"/>
    <x v="2"/>
    <x v="3"/>
    <x v="3"/>
    <s v="Free"/>
    <n v="1"/>
    <n v="0"/>
    <n v="0"/>
    <n v="0"/>
    <n v="0"/>
    <n v="0"/>
    <n v="0"/>
    <m/>
    <n v="66.3"/>
  </r>
  <r>
    <x v="1189"/>
    <d v="2025-02-16T00:00:00"/>
    <x v="1"/>
    <x v="2"/>
    <x v="0"/>
    <x v="2"/>
    <s v="Free"/>
    <n v="0"/>
    <n v="0"/>
    <n v="0"/>
    <n v="0"/>
    <n v="0"/>
    <n v="0"/>
    <n v="0"/>
    <m/>
    <n v="52.2"/>
  </r>
  <r>
    <x v="1190"/>
    <d v="2025-04-17T00:00:00"/>
    <x v="1"/>
    <x v="3"/>
    <x v="0"/>
    <x v="3"/>
    <s v="Premium"/>
    <n v="1"/>
    <n v="1"/>
    <n v="1"/>
    <n v="0"/>
    <n v="0"/>
    <n v="0"/>
    <n v="0"/>
    <m/>
    <n v="81.2"/>
  </r>
  <r>
    <x v="1191"/>
    <d v="2025-04-30T00:00:00"/>
    <x v="1"/>
    <x v="3"/>
    <x v="1"/>
    <x v="1"/>
    <s v="Basic"/>
    <n v="0"/>
    <n v="0"/>
    <n v="0"/>
    <n v="0"/>
    <n v="0"/>
    <n v="0"/>
    <n v="0"/>
    <m/>
    <n v="53.9"/>
  </r>
  <r>
    <x v="1192"/>
    <d v="2025-01-29T00:00:00"/>
    <x v="1"/>
    <x v="1"/>
    <x v="1"/>
    <x v="4"/>
    <s v="Premium"/>
    <n v="0"/>
    <n v="0"/>
    <n v="0"/>
    <n v="0"/>
    <n v="0"/>
    <n v="0"/>
    <n v="0"/>
    <m/>
    <n v="39.1"/>
  </r>
  <r>
    <x v="1193"/>
    <d v="2025-01-11T00:00:00"/>
    <x v="1"/>
    <x v="0"/>
    <x v="1"/>
    <x v="4"/>
    <s v="Basic"/>
    <n v="0"/>
    <n v="0"/>
    <n v="0"/>
    <n v="0"/>
    <n v="0"/>
    <n v="0"/>
    <n v="0"/>
    <m/>
    <n v="57.3"/>
  </r>
  <r>
    <x v="1194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x v="1195"/>
    <d v="2025-02-22T00:00:00"/>
    <x v="1"/>
    <x v="0"/>
    <x v="3"/>
    <x v="4"/>
    <s v="Free"/>
    <n v="1"/>
    <n v="0"/>
    <n v="0"/>
    <n v="0"/>
    <n v="0"/>
    <n v="1"/>
    <n v="0"/>
    <m/>
    <n v="34.200000000000003"/>
  </r>
  <r>
    <x v="1196"/>
    <d v="2025-03-23T00:00:00"/>
    <x v="1"/>
    <x v="3"/>
    <x v="1"/>
    <x v="1"/>
    <s v="Free"/>
    <n v="0"/>
    <n v="0"/>
    <n v="0"/>
    <n v="0"/>
    <n v="0"/>
    <n v="0"/>
    <n v="0"/>
    <m/>
    <n v="47.2"/>
  </r>
  <r>
    <x v="1197"/>
    <d v="2025-05-23T00:00:00"/>
    <x v="1"/>
    <x v="3"/>
    <x v="2"/>
    <x v="2"/>
    <s v="Free"/>
    <n v="1"/>
    <n v="0"/>
    <n v="0"/>
    <n v="0"/>
    <n v="0"/>
    <n v="1"/>
    <n v="0"/>
    <m/>
    <n v="55"/>
  </r>
  <r>
    <x v="1198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x v="1199"/>
    <d v="2025-05-26T00:00:00"/>
    <x v="1"/>
    <x v="0"/>
    <x v="1"/>
    <x v="3"/>
    <s v="Free"/>
    <n v="1"/>
    <n v="0"/>
    <n v="0"/>
    <n v="0"/>
    <n v="0"/>
    <n v="0"/>
    <n v="0"/>
    <m/>
    <n v="70.8"/>
  </r>
  <r>
    <x v="1200"/>
    <d v="2025-03-06T00:00:00"/>
    <x v="1"/>
    <x v="2"/>
    <x v="1"/>
    <x v="2"/>
    <s v="Basic"/>
    <n v="1"/>
    <n v="1"/>
    <n v="0"/>
    <n v="0"/>
    <n v="0"/>
    <n v="1"/>
    <n v="0"/>
    <m/>
    <n v="58"/>
  </r>
  <r>
    <x v="1201"/>
    <d v="2025-04-03T00:00:00"/>
    <x v="1"/>
    <x v="1"/>
    <x v="1"/>
    <x v="1"/>
    <s v="Basic"/>
    <n v="1"/>
    <n v="1"/>
    <n v="1"/>
    <n v="0"/>
    <n v="0"/>
    <n v="1"/>
    <n v="0"/>
    <m/>
    <n v="70.8"/>
  </r>
  <r>
    <x v="1202"/>
    <d v="2025-02-01T00:00:00"/>
    <x v="1"/>
    <x v="2"/>
    <x v="0"/>
    <x v="2"/>
    <s v="Free"/>
    <n v="1"/>
    <n v="0"/>
    <n v="0"/>
    <n v="0"/>
    <n v="0"/>
    <n v="3"/>
    <n v="0"/>
    <m/>
    <n v="60"/>
  </r>
  <r>
    <x v="1203"/>
    <d v="2025-05-01T00:00:00"/>
    <x v="1"/>
    <x v="1"/>
    <x v="1"/>
    <x v="3"/>
    <s v="Premium"/>
    <n v="1"/>
    <n v="1"/>
    <n v="1"/>
    <n v="0"/>
    <n v="0"/>
    <n v="3"/>
    <n v="0"/>
    <m/>
    <n v="58.1"/>
  </r>
  <r>
    <x v="1204"/>
    <d v="2025-04-13T00:00:00"/>
    <x v="1"/>
    <x v="0"/>
    <x v="1"/>
    <x v="4"/>
    <s v="Premium"/>
    <n v="0"/>
    <n v="0"/>
    <n v="0"/>
    <n v="0"/>
    <n v="0"/>
    <n v="0"/>
    <n v="0"/>
    <m/>
    <n v="59.7"/>
  </r>
  <r>
    <x v="1205"/>
    <d v="2025-01-25T00:00:00"/>
    <x v="1"/>
    <x v="2"/>
    <x v="1"/>
    <x v="4"/>
    <s v="Free"/>
    <n v="0"/>
    <n v="0"/>
    <n v="0"/>
    <n v="0"/>
    <n v="0"/>
    <n v="0"/>
    <n v="0"/>
    <m/>
    <n v="47.7"/>
  </r>
  <r>
    <x v="1206"/>
    <d v="2025-03-17T00:00:00"/>
    <x v="1"/>
    <x v="0"/>
    <x v="1"/>
    <x v="1"/>
    <s v="Free"/>
    <n v="0"/>
    <n v="0"/>
    <n v="0"/>
    <n v="0"/>
    <n v="0"/>
    <n v="0"/>
    <n v="0"/>
    <m/>
    <n v="59.1"/>
  </r>
  <r>
    <x v="1207"/>
    <d v="2025-02-21T00:00:00"/>
    <x v="1"/>
    <x v="1"/>
    <x v="0"/>
    <x v="4"/>
    <s v="Basic"/>
    <n v="1"/>
    <n v="0"/>
    <n v="0"/>
    <n v="0"/>
    <n v="0"/>
    <n v="1"/>
    <n v="0"/>
    <m/>
    <n v="68.7"/>
  </r>
  <r>
    <x v="1208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10"/>
    <d v="2025-05-29T00:00:00"/>
    <x v="1"/>
    <x v="3"/>
    <x v="1"/>
    <x v="1"/>
    <s v="Free"/>
    <n v="1"/>
    <n v="1"/>
    <n v="0"/>
    <n v="0"/>
    <n v="0"/>
    <n v="0"/>
    <n v="0"/>
    <m/>
    <n v="56"/>
  </r>
  <r>
    <x v="1211"/>
    <d v="2025-05-30T00:00:00"/>
    <x v="1"/>
    <x v="0"/>
    <x v="1"/>
    <x v="0"/>
    <s v="Basic"/>
    <n v="1"/>
    <n v="0"/>
    <n v="0"/>
    <n v="0"/>
    <n v="0"/>
    <n v="1"/>
    <n v="0"/>
    <m/>
    <n v="65.8"/>
  </r>
  <r>
    <x v="1212"/>
    <d v="2025-01-24T00:00:00"/>
    <x v="1"/>
    <x v="0"/>
    <x v="0"/>
    <x v="1"/>
    <s v="Premium"/>
    <n v="0"/>
    <n v="0"/>
    <n v="0"/>
    <n v="0"/>
    <n v="0"/>
    <n v="0"/>
    <n v="0"/>
    <m/>
    <n v="54.7"/>
  </r>
  <r>
    <x v="1213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x v="1214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x v="1215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x v="1216"/>
    <d v="2025-01-28T00:00:00"/>
    <x v="1"/>
    <x v="2"/>
    <x v="2"/>
    <x v="3"/>
    <s v="Basic"/>
    <n v="0"/>
    <n v="0"/>
    <n v="0"/>
    <n v="0"/>
    <n v="0"/>
    <n v="0"/>
    <n v="0"/>
    <m/>
    <n v="49.3"/>
  </r>
  <r>
    <x v="1217"/>
    <d v="2025-05-21T00:00:00"/>
    <x v="1"/>
    <x v="0"/>
    <x v="1"/>
    <x v="1"/>
    <s v="Basic"/>
    <n v="0"/>
    <n v="0"/>
    <n v="0"/>
    <n v="0"/>
    <n v="0"/>
    <n v="0"/>
    <n v="0"/>
    <m/>
    <n v="52.8"/>
  </r>
  <r>
    <x v="1218"/>
    <d v="2025-05-11T00:00:00"/>
    <x v="1"/>
    <x v="1"/>
    <x v="0"/>
    <x v="1"/>
    <s v="Free"/>
    <n v="0"/>
    <n v="0"/>
    <n v="0"/>
    <n v="0"/>
    <n v="0"/>
    <n v="0"/>
    <n v="0"/>
    <m/>
    <n v="58.5"/>
  </r>
  <r>
    <x v="1219"/>
    <d v="2025-02-02T00:00:00"/>
    <x v="1"/>
    <x v="3"/>
    <x v="1"/>
    <x v="2"/>
    <s v="Free"/>
    <n v="1"/>
    <n v="0"/>
    <n v="0"/>
    <n v="0"/>
    <n v="0"/>
    <n v="0"/>
    <n v="0"/>
    <m/>
    <n v="55.9"/>
  </r>
  <r>
    <x v="1220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x v="1221"/>
    <d v="2025-02-27T00:00:00"/>
    <x v="1"/>
    <x v="3"/>
    <x v="0"/>
    <x v="3"/>
    <s v="Free"/>
    <n v="1"/>
    <n v="1"/>
    <n v="1"/>
    <n v="1"/>
    <n v="352.42"/>
    <n v="0"/>
    <n v="0"/>
    <n v="4"/>
    <n v="58.5"/>
  </r>
  <r>
    <x v="1222"/>
    <d v="2025-03-09T00:00:00"/>
    <x v="1"/>
    <x v="1"/>
    <x v="1"/>
    <x v="1"/>
    <s v="Free"/>
    <n v="0"/>
    <n v="0"/>
    <n v="0"/>
    <n v="0"/>
    <n v="0"/>
    <n v="0"/>
    <n v="0"/>
    <m/>
    <n v="63.5"/>
  </r>
  <r>
    <x v="1223"/>
    <d v="2025-02-07T00:00:00"/>
    <x v="1"/>
    <x v="0"/>
    <x v="1"/>
    <x v="2"/>
    <s v="Basic"/>
    <n v="1"/>
    <n v="0"/>
    <n v="0"/>
    <n v="0"/>
    <n v="0"/>
    <n v="1"/>
    <n v="0"/>
    <m/>
    <n v="64.8"/>
  </r>
  <r>
    <x v="1224"/>
    <d v="2025-01-31T00:00:00"/>
    <x v="1"/>
    <x v="1"/>
    <x v="1"/>
    <x v="4"/>
    <s v="Free"/>
    <n v="0"/>
    <n v="0"/>
    <n v="0"/>
    <n v="0"/>
    <n v="0"/>
    <n v="0"/>
    <n v="0"/>
    <m/>
    <n v="63.3"/>
  </r>
  <r>
    <x v="1225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x v="1226"/>
    <d v="2025-02-12T00:00:00"/>
    <x v="1"/>
    <x v="3"/>
    <x v="0"/>
    <x v="4"/>
    <s v="Basic"/>
    <n v="0"/>
    <n v="0"/>
    <n v="0"/>
    <n v="0"/>
    <n v="0"/>
    <n v="0"/>
    <n v="0"/>
    <m/>
    <n v="88.7"/>
  </r>
  <r>
    <x v="1227"/>
    <d v="2025-03-23T00:00:00"/>
    <x v="1"/>
    <x v="2"/>
    <x v="3"/>
    <x v="2"/>
    <s v="Free"/>
    <n v="1"/>
    <n v="0"/>
    <n v="0"/>
    <n v="0"/>
    <n v="0"/>
    <n v="1"/>
    <n v="0"/>
    <m/>
    <n v="61.5"/>
  </r>
  <r>
    <x v="1228"/>
    <d v="2025-03-18T00:00:00"/>
    <x v="1"/>
    <x v="1"/>
    <x v="1"/>
    <x v="2"/>
    <s v="Free"/>
    <n v="0"/>
    <n v="0"/>
    <n v="0"/>
    <n v="0"/>
    <n v="0"/>
    <n v="0"/>
    <n v="0"/>
    <m/>
    <n v="45.3"/>
  </r>
  <r>
    <x v="1229"/>
    <d v="2025-05-17T00:00:00"/>
    <x v="1"/>
    <x v="0"/>
    <x v="1"/>
    <x v="4"/>
    <s v="Free"/>
    <n v="1"/>
    <n v="0"/>
    <n v="0"/>
    <n v="0"/>
    <n v="0"/>
    <n v="0"/>
    <n v="0"/>
    <m/>
    <n v="37.299999999999997"/>
  </r>
  <r>
    <x v="1230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232"/>
    <d v="2025-02-25T00:00:00"/>
    <x v="1"/>
    <x v="2"/>
    <x v="0"/>
    <x v="1"/>
    <s v="Free"/>
    <n v="1"/>
    <n v="0"/>
    <n v="0"/>
    <n v="0"/>
    <n v="0"/>
    <n v="0"/>
    <n v="0"/>
    <m/>
    <n v="62.3"/>
  </r>
  <r>
    <x v="1233"/>
    <d v="2025-03-01T00:00:00"/>
    <x v="1"/>
    <x v="2"/>
    <x v="0"/>
    <x v="4"/>
    <s v="Free"/>
    <n v="0"/>
    <n v="0"/>
    <n v="0"/>
    <n v="0"/>
    <n v="0"/>
    <n v="0"/>
    <n v="0"/>
    <m/>
    <n v="62.7"/>
  </r>
  <r>
    <x v="1234"/>
    <d v="2025-05-27T00:00:00"/>
    <x v="1"/>
    <x v="0"/>
    <x v="1"/>
    <x v="2"/>
    <s v="Basic"/>
    <n v="0"/>
    <n v="0"/>
    <n v="0"/>
    <n v="0"/>
    <n v="0"/>
    <n v="0"/>
    <n v="0"/>
    <m/>
    <n v="82.4"/>
  </r>
  <r>
    <x v="1235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x v="1236"/>
    <d v="2025-01-25T00:00:00"/>
    <x v="1"/>
    <x v="1"/>
    <x v="0"/>
    <x v="0"/>
    <s v="Free"/>
    <n v="1"/>
    <n v="1"/>
    <n v="1"/>
    <n v="1"/>
    <n v="618.91"/>
    <n v="0"/>
    <n v="0"/>
    <n v="4"/>
    <n v="67.8"/>
  </r>
  <r>
    <x v="1237"/>
    <d v="2025-04-10T00:00:00"/>
    <x v="1"/>
    <x v="2"/>
    <x v="1"/>
    <x v="1"/>
    <s v="Premium"/>
    <n v="1"/>
    <n v="0"/>
    <n v="0"/>
    <n v="0"/>
    <n v="0"/>
    <n v="0"/>
    <n v="0"/>
    <m/>
    <n v="68.8"/>
  </r>
  <r>
    <x v="1238"/>
    <d v="2025-01-10T00:00:00"/>
    <x v="1"/>
    <x v="2"/>
    <x v="1"/>
    <x v="1"/>
    <s v="Premium"/>
    <n v="1"/>
    <n v="0"/>
    <n v="0"/>
    <n v="0"/>
    <n v="0"/>
    <n v="0"/>
    <n v="0"/>
    <m/>
    <n v="67.7"/>
  </r>
  <r>
    <x v="1239"/>
    <d v="2025-02-23T00:00:00"/>
    <x v="1"/>
    <x v="2"/>
    <x v="1"/>
    <x v="5"/>
    <s v="Free"/>
    <n v="0"/>
    <n v="0"/>
    <n v="0"/>
    <n v="0"/>
    <n v="0"/>
    <n v="0"/>
    <n v="0"/>
    <m/>
    <n v="88"/>
  </r>
  <r>
    <x v="1240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x v="1241"/>
    <d v="2025-03-08T00:00:00"/>
    <x v="1"/>
    <x v="0"/>
    <x v="2"/>
    <x v="0"/>
    <s v="Basic"/>
    <n v="0"/>
    <n v="0"/>
    <n v="0"/>
    <n v="0"/>
    <n v="0"/>
    <n v="1"/>
    <n v="0"/>
    <m/>
    <n v="48.2"/>
  </r>
  <r>
    <x v="1242"/>
    <d v="2025-05-21T00:00:00"/>
    <x v="1"/>
    <x v="2"/>
    <x v="1"/>
    <x v="1"/>
    <s v="Basic"/>
    <n v="1"/>
    <n v="0"/>
    <n v="0"/>
    <n v="0"/>
    <n v="0"/>
    <n v="0"/>
    <n v="0"/>
    <m/>
    <n v="52.7"/>
  </r>
  <r>
    <x v="1243"/>
    <d v="2025-04-22T00:00:00"/>
    <x v="1"/>
    <x v="0"/>
    <x v="1"/>
    <x v="0"/>
    <s v="Basic"/>
    <n v="1"/>
    <n v="1"/>
    <n v="0"/>
    <n v="0"/>
    <n v="0"/>
    <n v="0"/>
    <n v="0"/>
    <m/>
    <n v="59.9"/>
  </r>
  <r>
    <x v="1244"/>
    <d v="2025-04-16T00:00:00"/>
    <x v="1"/>
    <x v="0"/>
    <x v="1"/>
    <x v="0"/>
    <s v="Premium"/>
    <n v="1"/>
    <n v="0"/>
    <n v="0"/>
    <n v="0"/>
    <n v="0"/>
    <n v="0"/>
    <n v="0"/>
    <m/>
    <n v="49.5"/>
  </r>
  <r>
    <x v="1245"/>
    <d v="2025-05-08T00:00:00"/>
    <x v="1"/>
    <x v="0"/>
    <x v="2"/>
    <x v="1"/>
    <s v="Free"/>
    <n v="1"/>
    <n v="0"/>
    <n v="0"/>
    <n v="0"/>
    <n v="0"/>
    <n v="0"/>
    <n v="0"/>
    <m/>
    <n v="41.5"/>
  </r>
  <r>
    <x v="1246"/>
    <d v="2025-05-22T00:00:00"/>
    <x v="1"/>
    <x v="0"/>
    <x v="1"/>
    <x v="2"/>
    <s v="Basic"/>
    <n v="1"/>
    <n v="0"/>
    <n v="0"/>
    <n v="0"/>
    <n v="0"/>
    <n v="0"/>
    <n v="0"/>
    <m/>
    <n v="71.2"/>
  </r>
  <r>
    <x v="1247"/>
    <d v="2025-03-21T00:00:00"/>
    <x v="1"/>
    <x v="0"/>
    <x v="1"/>
    <x v="3"/>
    <s v="Basic"/>
    <n v="1"/>
    <n v="1"/>
    <n v="1"/>
    <n v="0"/>
    <n v="0"/>
    <n v="0"/>
    <n v="0"/>
    <m/>
    <n v="65.8"/>
  </r>
  <r>
    <x v="1248"/>
    <d v="2025-03-22T00:00:00"/>
    <x v="1"/>
    <x v="2"/>
    <x v="1"/>
    <x v="1"/>
    <s v="Basic"/>
    <n v="1"/>
    <n v="0"/>
    <n v="0"/>
    <n v="0"/>
    <n v="0"/>
    <n v="1"/>
    <n v="0"/>
    <m/>
    <n v="55.1"/>
  </r>
  <r>
    <x v="1249"/>
    <d v="2025-01-10T00:00:00"/>
    <x v="1"/>
    <x v="1"/>
    <x v="0"/>
    <x v="4"/>
    <s v="Free"/>
    <n v="1"/>
    <n v="0"/>
    <n v="0"/>
    <n v="0"/>
    <n v="0"/>
    <n v="0"/>
    <n v="0"/>
    <m/>
    <n v="54.6"/>
  </r>
  <r>
    <x v="1250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x v="1251"/>
    <d v="2025-03-31T00:00:00"/>
    <x v="1"/>
    <x v="3"/>
    <x v="1"/>
    <x v="2"/>
    <s v="Basic"/>
    <n v="1"/>
    <n v="1"/>
    <n v="0"/>
    <n v="0"/>
    <n v="0"/>
    <n v="3"/>
    <n v="0"/>
    <m/>
    <n v="63.2"/>
  </r>
  <r>
    <x v="1252"/>
    <d v="2025-04-25T00:00:00"/>
    <x v="1"/>
    <x v="0"/>
    <x v="1"/>
    <x v="2"/>
    <s v="Free"/>
    <n v="1"/>
    <n v="0"/>
    <n v="0"/>
    <n v="0"/>
    <n v="0"/>
    <n v="0"/>
    <n v="0"/>
    <m/>
    <n v="55.4"/>
  </r>
  <r>
    <x v="1253"/>
    <d v="2025-05-02T00:00:00"/>
    <x v="1"/>
    <x v="1"/>
    <x v="1"/>
    <x v="4"/>
    <s v="Basic"/>
    <n v="0"/>
    <n v="0"/>
    <n v="0"/>
    <n v="0"/>
    <n v="0"/>
    <n v="0"/>
    <n v="0"/>
    <m/>
    <n v="87.5"/>
  </r>
  <r>
    <x v="1254"/>
    <d v="2025-03-08T00:00:00"/>
    <x v="1"/>
    <x v="3"/>
    <x v="0"/>
    <x v="4"/>
    <s v="Basic"/>
    <n v="1"/>
    <n v="0"/>
    <n v="0"/>
    <n v="0"/>
    <n v="0"/>
    <n v="0"/>
    <n v="0"/>
    <m/>
    <n v="48.5"/>
  </r>
  <r>
    <x v="1255"/>
    <d v="2025-01-27T00:00:00"/>
    <x v="1"/>
    <x v="2"/>
    <x v="0"/>
    <x v="5"/>
    <s v="Free"/>
    <n v="1"/>
    <n v="1"/>
    <n v="1"/>
    <n v="1"/>
    <n v="420.27"/>
    <n v="0"/>
    <n v="0"/>
    <n v="6"/>
    <n v="58.4"/>
  </r>
  <r>
    <x v="1256"/>
    <d v="2025-04-27T00:00:00"/>
    <x v="1"/>
    <x v="1"/>
    <x v="1"/>
    <x v="2"/>
    <s v="Free"/>
    <n v="0"/>
    <n v="0"/>
    <n v="0"/>
    <n v="0"/>
    <n v="0"/>
    <n v="0"/>
    <n v="0"/>
    <m/>
    <n v="59.5"/>
  </r>
  <r>
    <x v="1257"/>
    <d v="2025-01-16T00:00:00"/>
    <x v="1"/>
    <x v="1"/>
    <x v="0"/>
    <x v="2"/>
    <s v="Basic"/>
    <n v="1"/>
    <n v="0"/>
    <n v="0"/>
    <n v="0"/>
    <n v="0"/>
    <n v="0"/>
    <n v="0"/>
    <m/>
    <n v="93.2"/>
  </r>
  <r>
    <x v="1258"/>
    <d v="2025-01-18T00:00:00"/>
    <x v="1"/>
    <x v="1"/>
    <x v="0"/>
    <x v="2"/>
    <s v="Basic"/>
    <n v="1"/>
    <n v="0"/>
    <n v="0"/>
    <n v="0"/>
    <n v="0"/>
    <n v="0"/>
    <n v="0"/>
    <m/>
    <n v="59"/>
  </r>
  <r>
    <x v="1259"/>
    <d v="2025-03-21T00:00:00"/>
    <x v="1"/>
    <x v="0"/>
    <x v="1"/>
    <x v="1"/>
    <s v="Free"/>
    <n v="1"/>
    <n v="0"/>
    <n v="0"/>
    <n v="0"/>
    <n v="0"/>
    <n v="0"/>
    <n v="0"/>
    <m/>
    <n v="37"/>
  </r>
  <r>
    <x v="1260"/>
    <d v="2025-04-02T00:00:00"/>
    <x v="1"/>
    <x v="0"/>
    <x v="0"/>
    <x v="2"/>
    <s v="Free"/>
    <n v="1"/>
    <n v="0"/>
    <n v="0"/>
    <n v="0"/>
    <n v="0"/>
    <n v="0"/>
    <n v="0"/>
    <m/>
    <n v="47.5"/>
  </r>
  <r>
    <x v="1261"/>
    <d v="2025-02-16T00:00:00"/>
    <x v="1"/>
    <x v="1"/>
    <x v="0"/>
    <x v="1"/>
    <s v="Free"/>
    <n v="1"/>
    <n v="1"/>
    <n v="1"/>
    <n v="0"/>
    <n v="0"/>
    <n v="0"/>
    <n v="0"/>
    <m/>
    <n v="78.7"/>
  </r>
  <r>
    <x v="1262"/>
    <d v="2025-02-18T00:00:00"/>
    <x v="1"/>
    <x v="0"/>
    <x v="1"/>
    <x v="4"/>
    <s v="Free"/>
    <n v="1"/>
    <n v="0"/>
    <n v="0"/>
    <n v="0"/>
    <n v="0"/>
    <n v="0"/>
    <n v="0"/>
    <m/>
    <n v="49.6"/>
  </r>
  <r>
    <x v="1263"/>
    <d v="2025-01-09T00:00:00"/>
    <x v="1"/>
    <x v="2"/>
    <x v="1"/>
    <x v="1"/>
    <s v="Free"/>
    <n v="1"/>
    <n v="0"/>
    <n v="0"/>
    <n v="0"/>
    <n v="0"/>
    <n v="0"/>
    <n v="0"/>
    <m/>
    <n v="58"/>
  </r>
  <r>
    <x v="1264"/>
    <d v="2025-02-18T00:00:00"/>
    <x v="1"/>
    <x v="0"/>
    <x v="0"/>
    <x v="2"/>
    <s v="Free"/>
    <n v="1"/>
    <n v="0"/>
    <n v="0"/>
    <n v="0"/>
    <n v="0"/>
    <n v="1"/>
    <n v="0"/>
    <m/>
    <n v="54.4"/>
  </r>
  <r>
    <x v="1265"/>
    <d v="2025-01-10T00:00:00"/>
    <x v="1"/>
    <x v="2"/>
    <x v="1"/>
    <x v="3"/>
    <s v="Free"/>
    <n v="0"/>
    <n v="0"/>
    <n v="0"/>
    <n v="0"/>
    <n v="0"/>
    <n v="0"/>
    <n v="0"/>
    <m/>
    <n v="33.700000000000003"/>
  </r>
  <r>
    <x v="1266"/>
    <d v="2025-03-08T00:00:00"/>
    <x v="1"/>
    <x v="1"/>
    <x v="1"/>
    <x v="0"/>
    <s v="Free"/>
    <n v="1"/>
    <n v="0"/>
    <n v="0"/>
    <n v="0"/>
    <n v="0"/>
    <n v="0"/>
    <n v="0"/>
    <m/>
    <n v="72.7"/>
  </r>
  <r>
    <x v="1267"/>
    <d v="2025-04-16T00:00:00"/>
    <x v="1"/>
    <x v="2"/>
    <x v="0"/>
    <x v="2"/>
    <s v="Basic"/>
    <n v="0"/>
    <n v="0"/>
    <n v="0"/>
    <n v="0"/>
    <n v="0"/>
    <n v="0"/>
    <n v="0"/>
    <m/>
    <n v="64.7"/>
  </r>
  <r>
    <x v="1268"/>
    <d v="2025-02-19T00:00:00"/>
    <x v="1"/>
    <x v="1"/>
    <x v="0"/>
    <x v="2"/>
    <s v="Premium"/>
    <n v="0"/>
    <n v="0"/>
    <n v="0"/>
    <n v="0"/>
    <n v="0"/>
    <n v="1"/>
    <n v="0"/>
    <m/>
    <n v="48.6"/>
  </r>
  <r>
    <x v="1269"/>
    <d v="2025-03-16T00:00:00"/>
    <x v="1"/>
    <x v="2"/>
    <x v="0"/>
    <x v="4"/>
    <s v="Free"/>
    <n v="1"/>
    <n v="1"/>
    <n v="0"/>
    <n v="0"/>
    <n v="0"/>
    <n v="0"/>
    <n v="0"/>
    <m/>
    <n v="66.2"/>
  </r>
  <r>
    <x v="1270"/>
    <d v="2025-02-03T00:00:00"/>
    <x v="1"/>
    <x v="1"/>
    <x v="3"/>
    <x v="3"/>
    <s v="Basic"/>
    <n v="1"/>
    <n v="0"/>
    <n v="0"/>
    <n v="0"/>
    <n v="0"/>
    <n v="1"/>
    <n v="0"/>
    <m/>
    <n v="60.7"/>
  </r>
  <r>
    <x v="1271"/>
    <d v="2025-03-12T00:00:00"/>
    <x v="1"/>
    <x v="1"/>
    <x v="1"/>
    <x v="2"/>
    <s v="Basic"/>
    <n v="1"/>
    <n v="0"/>
    <n v="0"/>
    <n v="0"/>
    <n v="0"/>
    <n v="0"/>
    <n v="0"/>
    <m/>
    <n v="36.5"/>
  </r>
  <r>
    <x v="1272"/>
    <d v="2025-05-09T00:00:00"/>
    <x v="1"/>
    <x v="1"/>
    <x v="1"/>
    <x v="4"/>
    <s v="Free"/>
    <n v="1"/>
    <n v="1"/>
    <n v="1"/>
    <n v="0"/>
    <n v="0"/>
    <n v="3"/>
    <n v="0"/>
    <m/>
    <n v="69.7"/>
  </r>
  <r>
    <x v="1273"/>
    <d v="2025-01-19T00:00:00"/>
    <x v="1"/>
    <x v="3"/>
    <x v="0"/>
    <x v="4"/>
    <s v="Premium"/>
    <n v="1"/>
    <n v="0"/>
    <n v="0"/>
    <n v="0"/>
    <n v="0"/>
    <n v="0"/>
    <n v="0"/>
    <m/>
    <n v="81.8"/>
  </r>
  <r>
    <x v="1274"/>
    <d v="2025-01-24T00:00:00"/>
    <x v="1"/>
    <x v="1"/>
    <x v="1"/>
    <x v="3"/>
    <s v="Free"/>
    <n v="1"/>
    <n v="1"/>
    <n v="1"/>
    <n v="0"/>
    <n v="0"/>
    <n v="1"/>
    <n v="0"/>
    <m/>
    <n v="78.3"/>
  </r>
  <r>
    <x v="1275"/>
    <d v="2025-03-03T00:00:00"/>
    <x v="1"/>
    <x v="2"/>
    <x v="1"/>
    <x v="3"/>
    <s v="Free"/>
    <n v="1"/>
    <n v="1"/>
    <n v="0"/>
    <n v="0"/>
    <n v="0"/>
    <n v="0"/>
    <n v="0"/>
    <m/>
    <n v="79.400000000000006"/>
  </r>
  <r>
    <x v="1276"/>
    <d v="2025-05-27T00:00:00"/>
    <x v="1"/>
    <x v="0"/>
    <x v="0"/>
    <x v="3"/>
    <s v="Free"/>
    <n v="1"/>
    <n v="1"/>
    <n v="1"/>
    <n v="0"/>
    <n v="0"/>
    <n v="0"/>
    <n v="0"/>
    <m/>
    <n v="54.9"/>
  </r>
  <r>
    <x v="1277"/>
    <d v="2025-04-23T00:00:00"/>
    <x v="1"/>
    <x v="1"/>
    <x v="0"/>
    <x v="1"/>
    <s v="Basic"/>
    <n v="1"/>
    <n v="0"/>
    <n v="0"/>
    <n v="0"/>
    <n v="0"/>
    <n v="0"/>
    <n v="0"/>
    <m/>
    <n v="54.9"/>
  </r>
  <r>
    <x v="1278"/>
    <d v="2025-02-10T00:00:00"/>
    <x v="1"/>
    <x v="2"/>
    <x v="0"/>
    <x v="4"/>
    <s v="Free"/>
    <n v="0"/>
    <n v="0"/>
    <n v="0"/>
    <n v="0"/>
    <n v="0"/>
    <n v="0"/>
    <n v="0"/>
    <m/>
    <n v="28.7"/>
  </r>
  <r>
    <x v="1279"/>
    <d v="2025-02-11T00:00:00"/>
    <x v="1"/>
    <x v="0"/>
    <x v="1"/>
    <x v="1"/>
    <s v="Free"/>
    <n v="0"/>
    <n v="0"/>
    <n v="0"/>
    <n v="0"/>
    <n v="0"/>
    <n v="0"/>
    <n v="0"/>
    <m/>
    <n v="68.8"/>
  </r>
  <r>
    <x v="1280"/>
    <d v="2025-01-21T00:00:00"/>
    <x v="1"/>
    <x v="2"/>
    <x v="0"/>
    <x v="2"/>
    <s v="Free"/>
    <n v="1"/>
    <n v="1"/>
    <n v="1"/>
    <n v="0"/>
    <n v="0"/>
    <n v="0"/>
    <n v="0"/>
    <m/>
    <n v="43.5"/>
  </r>
  <r>
    <x v="1281"/>
    <d v="2025-02-02T00:00:00"/>
    <x v="1"/>
    <x v="1"/>
    <x v="0"/>
    <x v="4"/>
    <s v="Free"/>
    <n v="1"/>
    <n v="1"/>
    <n v="0"/>
    <n v="0"/>
    <n v="0"/>
    <n v="0"/>
    <n v="0"/>
    <m/>
    <n v="62.6"/>
  </r>
  <r>
    <x v="1282"/>
    <d v="2025-02-02T00:00:00"/>
    <x v="1"/>
    <x v="1"/>
    <x v="1"/>
    <x v="1"/>
    <s v="Free"/>
    <n v="0"/>
    <n v="0"/>
    <n v="0"/>
    <n v="0"/>
    <n v="0"/>
    <n v="1"/>
    <n v="0"/>
    <m/>
    <n v="54.1"/>
  </r>
  <r>
    <x v="1283"/>
    <d v="2025-02-26T00:00:00"/>
    <x v="1"/>
    <x v="1"/>
    <x v="2"/>
    <x v="4"/>
    <s v="Free"/>
    <n v="1"/>
    <n v="1"/>
    <n v="1"/>
    <n v="0"/>
    <n v="0"/>
    <n v="0"/>
    <n v="0"/>
    <m/>
    <n v="80.099999999999994"/>
  </r>
  <r>
    <x v="1284"/>
    <d v="2025-04-22T00:00:00"/>
    <x v="1"/>
    <x v="0"/>
    <x v="1"/>
    <x v="4"/>
    <s v="Premium"/>
    <n v="1"/>
    <n v="0"/>
    <n v="0"/>
    <n v="0"/>
    <n v="0"/>
    <n v="0"/>
    <n v="0"/>
    <m/>
    <n v="69.5"/>
  </r>
  <r>
    <x v="1285"/>
    <d v="2025-03-11T00:00:00"/>
    <x v="1"/>
    <x v="0"/>
    <x v="0"/>
    <x v="1"/>
    <s v="Basic"/>
    <n v="0"/>
    <n v="0"/>
    <n v="0"/>
    <n v="0"/>
    <n v="0"/>
    <n v="2"/>
    <n v="0"/>
    <m/>
    <n v="46.6"/>
  </r>
  <r>
    <x v="1286"/>
    <d v="2025-05-08T00:00:00"/>
    <x v="1"/>
    <x v="3"/>
    <x v="1"/>
    <x v="1"/>
    <s v="Premium"/>
    <n v="1"/>
    <n v="0"/>
    <n v="0"/>
    <n v="0"/>
    <n v="0"/>
    <n v="1"/>
    <n v="0"/>
    <m/>
    <n v="54.9"/>
  </r>
  <r>
    <x v="1287"/>
    <d v="2025-03-10T00:00:00"/>
    <x v="1"/>
    <x v="2"/>
    <x v="0"/>
    <x v="1"/>
    <s v="Free"/>
    <n v="0"/>
    <n v="0"/>
    <n v="0"/>
    <n v="0"/>
    <n v="0"/>
    <n v="0"/>
    <n v="0"/>
    <m/>
    <n v="100"/>
  </r>
  <r>
    <x v="1288"/>
    <d v="2025-04-16T00:00:00"/>
    <x v="1"/>
    <x v="2"/>
    <x v="0"/>
    <x v="2"/>
    <s v="Free"/>
    <n v="1"/>
    <n v="1"/>
    <n v="1"/>
    <n v="0"/>
    <n v="0"/>
    <n v="1"/>
    <n v="0"/>
    <m/>
    <n v="80.5"/>
  </r>
  <r>
    <x v="1289"/>
    <d v="2025-03-01T00:00:00"/>
    <x v="1"/>
    <x v="1"/>
    <x v="2"/>
    <x v="1"/>
    <s v="Basic"/>
    <n v="1"/>
    <n v="0"/>
    <n v="0"/>
    <n v="0"/>
    <n v="0"/>
    <n v="0"/>
    <n v="0"/>
    <m/>
    <n v="51.2"/>
  </r>
  <r>
    <x v="1290"/>
    <d v="2025-01-18T00:00:00"/>
    <x v="1"/>
    <x v="3"/>
    <x v="0"/>
    <x v="1"/>
    <s v="Premium"/>
    <n v="1"/>
    <n v="0"/>
    <n v="0"/>
    <n v="0"/>
    <n v="0"/>
    <n v="0"/>
    <n v="0"/>
    <m/>
    <n v="42.5"/>
  </r>
  <r>
    <x v="1291"/>
    <d v="2025-03-30T00:00:00"/>
    <x v="1"/>
    <x v="0"/>
    <x v="1"/>
    <x v="2"/>
    <s v="Free"/>
    <n v="0"/>
    <n v="0"/>
    <n v="0"/>
    <n v="0"/>
    <n v="0"/>
    <n v="0"/>
    <n v="0"/>
    <m/>
    <n v="72.5"/>
  </r>
  <r>
    <x v="1292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x v="1293"/>
    <d v="2025-03-19T00:00:00"/>
    <x v="1"/>
    <x v="2"/>
    <x v="0"/>
    <x v="4"/>
    <s v="Free"/>
    <n v="0"/>
    <n v="0"/>
    <n v="0"/>
    <n v="0"/>
    <n v="0"/>
    <n v="0"/>
    <n v="0"/>
    <m/>
    <n v="78.400000000000006"/>
  </r>
  <r>
    <x v="1294"/>
    <d v="2025-03-28T00:00:00"/>
    <x v="1"/>
    <x v="0"/>
    <x v="0"/>
    <x v="3"/>
    <s v="Free"/>
    <n v="1"/>
    <n v="0"/>
    <n v="0"/>
    <n v="0"/>
    <n v="0"/>
    <n v="0"/>
    <n v="0"/>
    <m/>
    <n v="71.5"/>
  </r>
  <r>
    <x v="1295"/>
    <d v="2025-05-28T00:00:00"/>
    <x v="1"/>
    <x v="3"/>
    <x v="0"/>
    <x v="4"/>
    <s v="Free"/>
    <n v="1"/>
    <n v="0"/>
    <n v="0"/>
    <n v="0"/>
    <n v="0"/>
    <n v="0"/>
    <n v="0"/>
    <m/>
    <n v="66.7"/>
  </r>
  <r>
    <x v="1296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x v="1297"/>
    <d v="2025-05-10T00:00:00"/>
    <x v="1"/>
    <x v="0"/>
    <x v="1"/>
    <x v="3"/>
    <s v="Free"/>
    <n v="0"/>
    <n v="0"/>
    <n v="0"/>
    <n v="0"/>
    <n v="0"/>
    <n v="1"/>
    <n v="0"/>
    <m/>
    <n v="72.900000000000006"/>
  </r>
  <r>
    <x v="1298"/>
    <d v="2025-05-17T00:00:00"/>
    <x v="1"/>
    <x v="1"/>
    <x v="1"/>
    <x v="1"/>
    <s v="Free"/>
    <n v="0"/>
    <n v="0"/>
    <n v="0"/>
    <n v="0"/>
    <n v="0"/>
    <n v="3"/>
    <n v="0"/>
    <m/>
    <m/>
  </r>
  <r>
    <x v="1299"/>
    <d v="2025-01-18T00:00:00"/>
    <x v="1"/>
    <x v="3"/>
    <x v="1"/>
    <x v="1"/>
    <s v="Premium"/>
    <n v="1"/>
    <n v="0"/>
    <n v="0"/>
    <n v="0"/>
    <n v="0"/>
    <n v="0"/>
    <n v="0"/>
    <m/>
    <n v="55.2"/>
  </r>
  <r>
    <x v="1300"/>
    <d v="2025-05-04T00:00:00"/>
    <x v="1"/>
    <x v="1"/>
    <x v="1"/>
    <x v="4"/>
    <s v="Free"/>
    <n v="1"/>
    <n v="0"/>
    <n v="0"/>
    <n v="0"/>
    <n v="0"/>
    <n v="0"/>
    <n v="0"/>
    <m/>
    <n v="67.8"/>
  </r>
  <r>
    <x v="1301"/>
    <d v="2025-03-25T00:00:00"/>
    <x v="1"/>
    <x v="0"/>
    <x v="1"/>
    <x v="1"/>
    <s v="Free"/>
    <n v="1"/>
    <n v="0"/>
    <n v="0"/>
    <n v="0"/>
    <n v="0"/>
    <n v="2"/>
    <n v="0"/>
    <m/>
    <n v="70"/>
  </r>
  <r>
    <x v="1302"/>
    <d v="2025-02-27T00:00:00"/>
    <x v="1"/>
    <x v="0"/>
    <x v="1"/>
    <x v="4"/>
    <s v="Basic"/>
    <n v="1"/>
    <n v="1"/>
    <n v="1"/>
    <n v="0"/>
    <n v="0"/>
    <n v="0"/>
    <n v="0"/>
    <m/>
    <n v="51.1"/>
  </r>
  <r>
    <x v="1303"/>
    <d v="2025-01-14T00:00:00"/>
    <x v="1"/>
    <x v="1"/>
    <x v="1"/>
    <x v="2"/>
    <s v="Basic"/>
    <n v="1"/>
    <n v="1"/>
    <n v="1"/>
    <n v="0"/>
    <n v="0"/>
    <n v="0"/>
    <n v="0"/>
    <m/>
    <n v="57"/>
  </r>
  <r>
    <x v="1304"/>
    <d v="2025-04-11T00:00:00"/>
    <x v="1"/>
    <x v="2"/>
    <x v="1"/>
    <x v="4"/>
    <s v="Free"/>
    <n v="0"/>
    <n v="0"/>
    <n v="0"/>
    <n v="0"/>
    <n v="0"/>
    <n v="1"/>
    <n v="0"/>
    <m/>
    <n v="47.1"/>
  </r>
  <r>
    <x v="1305"/>
    <d v="2025-03-26T00:00:00"/>
    <x v="1"/>
    <x v="2"/>
    <x v="0"/>
    <x v="4"/>
    <s v="Basic"/>
    <n v="0"/>
    <n v="0"/>
    <n v="0"/>
    <n v="0"/>
    <n v="0"/>
    <n v="0"/>
    <n v="0"/>
    <m/>
    <n v="30.7"/>
  </r>
  <r>
    <x v="1306"/>
    <d v="2025-02-12T00:00:00"/>
    <x v="1"/>
    <x v="1"/>
    <x v="0"/>
    <x v="4"/>
    <s v="Free"/>
    <n v="1"/>
    <n v="0"/>
    <n v="0"/>
    <n v="0"/>
    <n v="0"/>
    <n v="0"/>
    <n v="0"/>
    <m/>
    <n v="57.3"/>
  </r>
  <r>
    <x v="1307"/>
    <d v="2025-02-18T00:00:00"/>
    <x v="1"/>
    <x v="1"/>
    <x v="2"/>
    <x v="2"/>
    <s v="Basic"/>
    <n v="1"/>
    <n v="0"/>
    <n v="0"/>
    <n v="0"/>
    <n v="0"/>
    <n v="0"/>
    <n v="0"/>
    <m/>
    <n v="70"/>
  </r>
  <r>
    <x v="1308"/>
    <d v="2025-05-25T00:00:00"/>
    <x v="1"/>
    <x v="2"/>
    <x v="0"/>
    <x v="4"/>
    <s v="Free"/>
    <n v="1"/>
    <n v="1"/>
    <n v="1"/>
    <n v="0"/>
    <n v="0"/>
    <n v="0"/>
    <n v="0"/>
    <m/>
    <n v="59.7"/>
  </r>
  <r>
    <x v="1309"/>
    <d v="2025-05-23T00:00:00"/>
    <x v="1"/>
    <x v="2"/>
    <x v="0"/>
    <x v="2"/>
    <s v="Basic"/>
    <n v="1"/>
    <n v="0"/>
    <n v="0"/>
    <n v="0"/>
    <n v="0"/>
    <n v="0"/>
    <n v="0"/>
    <m/>
    <n v="68.8"/>
  </r>
  <r>
    <x v="1310"/>
    <d v="2025-01-16T00:00:00"/>
    <x v="1"/>
    <x v="0"/>
    <x v="0"/>
    <x v="1"/>
    <s v="Free"/>
    <n v="1"/>
    <n v="1"/>
    <n v="1"/>
    <n v="1"/>
    <n v="428.37"/>
    <n v="0"/>
    <n v="0"/>
    <n v="9"/>
    <n v="88.3"/>
  </r>
  <r>
    <x v="1311"/>
    <d v="2025-01-19T00:00:00"/>
    <x v="1"/>
    <x v="1"/>
    <x v="0"/>
    <x v="0"/>
    <s v="Basic"/>
    <n v="0"/>
    <n v="0"/>
    <n v="0"/>
    <n v="0"/>
    <n v="0"/>
    <n v="0"/>
    <n v="0"/>
    <m/>
    <n v="83.4"/>
  </r>
  <r>
    <x v="1312"/>
    <d v="2025-05-18T00:00:00"/>
    <x v="1"/>
    <x v="3"/>
    <x v="1"/>
    <x v="3"/>
    <s v="Free"/>
    <n v="0"/>
    <n v="0"/>
    <n v="0"/>
    <n v="0"/>
    <n v="0"/>
    <n v="1"/>
    <n v="0"/>
    <m/>
    <n v="81.599999999999994"/>
  </r>
  <r>
    <x v="1313"/>
    <d v="2025-01-23T00:00:00"/>
    <x v="1"/>
    <x v="2"/>
    <x v="2"/>
    <x v="4"/>
    <s v="Premium"/>
    <n v="1"/>
    <n v="0"/>
    <n v="0"/>
    <n v="0"/>
    <n v="0"/>
    <n v="0"/>
    <n v="0"/>
    <m/>
    <n v="91.6"/>
  </r>
  <r>
    <x v="1314"/>
    <d v="2025-01-08T00:00:00"/>
    <x v="1"/>
    <x v="2"/>
    <x v="2"/>
    <x v="5"/>
    <s v="Premium"/>
    <n v="1"/>
    <n v="1"/>
    <n v="1"/>
    <n v="0"/>
    <n v="0"/>
    <n v="1"/>
    <n v="0"/>
    <m/>
    <n v="61.5"/>
  </r>
  <r>
    <x v="1315"/>
    <d v="2025-02-19T00:00:00"/>
    <x v="1"/>
    <x v="0"/>
    <x v="1"/>
    <x v="1"/>
    <s v="Premium"/>
    <n v="0"/>
    <n v="0"/>
    <n v="0"/>
    <n v="0"/>
    <n v="0"/>
    <n v="0"/>
    <n v="0"/>
    <m/>
    <m/>
  </r>
  <r>
    <x v="1316"/>
    <d v="2025-02-10T00:00:00"/>
    <x v="1"/>
    <x v="3"/>
    <x v="1"/>
    <x v="1"/>
    <s v="Free"/>
    <n v="1"/>
    <n v="0"/>
    <n v="0"/>
    <n v="0"/>
    <n v="0"/>
    <n v="0"/>
    <n v="0"/>
    <m/>
    <n v="32.6"/>
  </r>
  <r>
    <x v="1317"/>
    <d v="2025-04-13T00:00:00"/>
    <x v="1"/>
    <x v="3"/>
    <x v="1"/>
    <x v="2"/>
    <s v="Free"/>
    <n v="1"/>
    <n v="0"/>
    <n v="0"/>
    <n v="0"/>
    <n v="0"/>
    <n v="0"/>
    <n v="0"/>
    <m/>
    <n v="73.900000000000006"/>
  </r>
  <r>
    <x v="1318"/>
    <d v="2025-05-20T00:00:00"/>
    <x v="1"/>
    <x v="2"/>
    <x v="1"/>
    <x v="1"/>
    <s v="Free"/>
    <n v="1"/>
    <n v="1"/>
    <n v="1"/>
    <n v="1"/>
    <n v="444.06"/>
    <n v="0"/>
    <n v="0"/>
    <n v="9"/>
    <n v="99.9"/>
  </r>
  <r>
    <x v="1319"/>
    <d v="2025-05-13T00:00:00"/>
    <x v="1"/>
    <x v="3"/>
    <x v="1"/>
    <x v="2"/>
    <s v="Basic"/>
    <n v="1"/>
    <n v="1"/>
    <n v="0"/>
    <n v="0"/>
    <n v="0"/>
    <n v="1"/>
    <n v="0"/>
    <m/>
    <n v="62.4"/>
  </r>
  <r>
    <x v="1320"/>
    <d v="2025-05-28T00:00:00"/>
    <x v="1"/>
    <x v="3"/>
    <x v="0"/>
    <x v="2"/>
    <s v="Basic"/>
    <n v="1"/>
    <n v="0"/>
    <n v="0"/>
    <n v="0"/>
    <n v="0"/>
    <n v="0"/>
    <n v="0"/>
    <m/>
    <n v="46.1"/>
  </r>
  <r>
    <x v="1321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x v="1322"/>
    <d v="2025-02-03T00:00:00"/>
    <x v="1"/>
    <x v="0"/>
    <x v="1"/>
    <x v="0"/>
    <s v="Premium"/>
    <n v="0"/>
    <n v="0"/>
    <n v="0"/>
    <n v="0"/>
    <n v="0"/>
    <n v="0"/>
    <n v="0"/>
    <m/>
    <n v="90"/>
  </r>
  <r>
    <x v="1323"/>
    <d v="2025-02-26T00:00:00"/>
    <x v="1"/>
    <x v="3"/>
    <x v="1"/>
    <x v="0"/>
    <s v="Basic"/>
    <n v="1"/>
    <n v="0"/>
    <n v="0"/>
    <n v="0"/>
    <n v="0"/>
    <n v="1"/>
    <n v="0"/>
    <m/>
    <n v="68.8"/>
  </r>
  <r>
    <x v="1324"/>
    <d v="2025-01-26T00:00:00"/>
    <x v="1"/>
    <x v="1"/>
    <x v="1"/>
    <x v="2"/>
    <s v="Free"/>
    <n v="1"/>
    <n v="0"/>
    <n v="0"/>
    <n v="0"/>
    <n v="0"/>
    <n v="0"/>
    <n v="0"/>
    <m/>
    <n v="66.599999999999994"/>
  </r>
  <r>
    <x v="1325"/>
    <d v="2025-05-13T00:00:00"/>
    <x v="1"/>
    <x v="0"/>
    <x v="1"/>
    <x v="1"/>
    <s v="Premium"/>
    <n v="1"/>
    <n v="0"/>
    <n v="0"/>
    <n v="0"/>
    <n v="0"/>
    <n v="0"/>
    <n v="0"/>
    <m/>
    <n v="49.7"/>
  </r>
  <r>
    <x v="1326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x v="1327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x v="1328"/>
    <d v="2025-03-29T00:00:00"/>
    <x v="1"/>
    <x v="2"/>
    <x v="1"/>
    <x v="1"/>
    <s v="Free"/>
    <n v="0"/>
    <n v="0"/>
    <n v="0"/>
    <n v="0"/>
    <n v="0"/>
    <n v="0"/>
    <n v="0"/>
    <m/>
    <n v="46.1"/>
  </r>
  <r>
    <x v="1329"/>
    <d v="2025-04-09T00:00:00"/>
    <x v="1"/>
    <x v="1"/>
    <x v="0"/>
    <x v="3"/>
    <s v="Premium"/>
    <n v="1"/>
    <n v="0"/>
    <n v="0"/>
    <n v="0"/>
    <n v="0"/>
    <n v="0"/>
    <n v="0"/>
    <m/>
    <n v="85.6"/>
  </r>
  <r>
    <x v="1330"/>
    <d v="2025-01-22T00:00:00"/>
    <x v="1"/>
    <x v="3"/>
    <x v="2"/>
    <x v="1"/>
    <s v="Free"/>
    <n v="0"/>
    <n v="0"/>
    <n v="0"/>
    <n v="0"/>
    <n v="0"/>
    <n v="0"/>
    <n v="0"/>
    <m/>
    <n v="39.6"/>
  </r>
  <r>
    <x v="1331"/>
    <d v="2025-01-27T00:00:00"/>
    <x v="1"/>
    <x v="3"/>
    <x v="1"/>
    <x v="1"/>
    <s v="Basic"/>
    <n v="1"/>
    <n v="0"/>
    <n v="0"/>
    <n v="0"/>
    <n v="0"/>
    <n v="0"/>
    <n v="0"/>
    <m/>
    <n v="52.5"/>
  </r>
  <r>
    <x v="1332"/>
    <d v="2025-01-22T00:00:00"/>
    <x v="1"/>
    <x v="2"/>
    <x v="1"/>
    <x v="4"/>
    <s v="Premium"/>
    <n v="1"/>
    <n v="0"/>
    <n v="0"/>
    <n v="0"/>
    <n v="0"/>
    <n v="0"/>
    <n v="0"/>
    <m/>
    <n v="73.5"/>
  </r>
  <r>
    <x v="1333"/>
    <d v="2025-01-06T00:00:00"/>
    <x v="1"/>
    <x v="1"/>
    <x v="0"/>
    <x v="2"/>
    <s v="Free"/>
    <n v="0"/>
    <n v="0"/>
    <n v="0"/>
    <n v="0"/>
    <n v="0"/>
    <n v="0"/>
    <n v="0"/>
    <m/>
    <n v="62.5"/>
  </r>
  <r>
    <x v="1334"/>
    <d v="2025-04-16T00:00:00"/>
    <x v="1"/>
    <x v="3"/>
    <x v="3"/>
    <x v="1"/>
    <s v="Free"/>
    <n v="1"/>
    <n v="0"/>
    <n v="0"/>
    <n v="0"/>
    <n v="0"/>
    <n v="0"/>
    <n v="0"/>
    <m/>
    <n v="76.900000000000006"/>
  </r>
  <r>
    <x v="1335"/>
    <d v="2025-04-14T00:00:00"/>
    <x v="1"/>
    <x v="3"/>
    <x v="1"/>
    <x v="1"/>
    <s v="Free"/>
    <n v="1"/>
    <n v="0"/>
    <n v="0"/>
    <n v="0"/>
    <n v="0"/>
    <n v="0"/>
    <n v="0"/>
    <m/>
    <n v="51.4"/>
  </r>
  <r>
    <x v="1336"/>
    <d v="2025-02-22T00:00:00"/>
    <x v="1"/>
    <x v="1"/>
    <x v="1"/>
    <x v="2"/>
    <s v="Basic"/>
    <n v="1"/>
    <n v="0"/>
    <n v="0"/>
    <n v="0"/>
    <n v="0"/>
    <n v="0"/>
    <n v="0"/>
    <m/>
    <n v="59.3"/>
  </r>
  <r>
    <x v="1337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x v="1338"/>
    <d v="2025-04-20T00:00:00"/>
    <x v="1"/>
    <x v="1"/>
    <x v="0"/>
    <x v="1"/>
    <s v="Free"/>
    <n v="1"/>
    <n v="0"/>
    <n v="0"/>
    <n v="0"/>
    <n v="0"/>
    <n v="0"/>
    <n v="0"/>
    <m/>
    <n v="67"/>
  </r>
  <r>
    <x v="1339"/>
    <d v="2025-03-10T00:00:00"/>
    <x v="1"/>
    <x v="3"/>
    <x v="1"/>
    <x v="0"/>
    <s v="Free"/>
    <n v="0"/>
    <n v="0"/>
    <n v="0"/>
    <n v="0"/>
    <n v="0"/>
    <n v="0"/>
    <n v="0"/>
    <m/>
    <n v="63.6"/>
  </r>
  <r>
    <x v="1340"/>
    <d v="2025-02-21T00:00:00"/>
    <x v="1"/>
    <x v="3"/>
    <x v="1"/>
    <x v="0"/>
    <s v="Free"/>
    <n v="1"/>
    <n v="1"/>
    <n v="0"/>
    <n v="0"/>
    <n v="0"/>
    <n v="1"/>
    <n v="0"/>
    <m/>
    <n v="58.4"/>
  </r>
  <r>
    <x v="1341"/>
    <d v="2025-01-06T00:00:00"/>
    <x v="1"/>
    <x v="0"/>
    <x v="0"/>
    <x v="4"/>
    <s v="Free"/>
    <n v="1"/>
    <n v="0"/>
    <n v="0"/>
    <n v="0"/>
    <n v="0"/>
    <n v="0"/>
    <n v="0"/>
    <m/>
    <n v="36.799999999999997"/>
  </r>
  <r>
    <x v="1342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x v="1343"/>
    <d v="2025-05-23T00:00:00"/>
    <x v="1"/>
    <x v="3"/>
    <x v="1"/>
    <x v="0"/>
    <s v="Basic"/>
    <n v="1"/>
    <n v="1"/>
    <n v="0"/>
    <n v="0"/>
    <n v="0"/>
    <n v="1"/>
    <n v="0"/>
    <m/>
    <n v="79.7"/>
  </r>
  <r>
    <x v="1344"/>
    <d v="2025-03-14T00:00:00"/>
    <x v="1"/>
    <x v="1"/>
    <x v="0"/>
    <x v="1"/>
    <s v="Basic"/>
    <n v="1"/>
    <n v="0"/>
    <n v="0"/>
    <n v="0"/>
    <n v="0"/>
    <n v="1"/>
    <n v="0"/>
    <m/>
    <n v="56.5"/>
  </r>
  <r>
    <x v="1345"/>
    <d v="2025-04-21T00:00:00"/>
    <x v="1"/>
    <x v="0"/>
    <x v="1"/>
    <x v="4"/>
    <s v="Premium"/>
    <n v="1"/>
    <n v="0"/>
    <n v="0"/>
    <n v="0"/>
    <n v="0"/>
    <n v="0"/>
    <n v="0"/>
    <m/>
    <n v="44.7"/>
  </r>
  <r>
    <x v="1346"/>
    <d v="2025-01-03T00:00:00"/>
    <x v="1"/>
    <x v="3"/>
    <x v="1"/>
    <x v="4"/>
    <s v="Free"/>
    <n v="1"/>
    <n v="1"/>
    <n v="1"/>
    <n v="0"/>
    <n v="0"/>
    <n v="1"/>
    <n v="0"/>
    <m/>
    <n v="66"/>
  </r>
  <r>
    <x v="1347"/>
    <d v="2025-05-09T00:00:00"/>
    <x v="1"/>
    <x v="0"/>
    <x v="0"/>
    <x v="1"/>
    <s v="Basic"/>
    <n v="1"/>
    <n v="0"/>
    <n v="0"/>
    <n v="0"/>
    <n v="0"/>
    <n v="0"/>
    <n v="0"/>
    <m/>
    <n v="73"/>
  </r>
  <r>
    <x v="1348"/>
    <d v="2025-05-22T00:00:00"/>
    <x v="1"/>
    <x v="3"/>
    <x v="1"/>
    <x v="1"/>
    <s v="Basic"/>
    <n v="1"/>
    <n v="1"/>
    <n v="1"/>
    <n v="0"/>
    <n v="0"/>
    <n v="1"/>
    <n v="0"/>
    <m/>
    <n v="72.5"/>
  </r>
  <r>
    <x v="1349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x v="1350"/>
    <d v="2025-02-08T00:00:00"/>
    <x v="1"/>
    <x v="2"/>
    <x v="1"/>
    <x v="4"/>
    <s v="Free"/>
    <n v="0"/>
    <n v="0"/>
    <n v="0"/>
    <n v="0"/>
    <n v="0"/>
    <n v="1"/>
    <n v="0"/>
    <m/>
    <n v="90.5"/>
  </r>
  <r>
    <x v="1351"/>
    <d v="2025-04-03T00:00:00"/>
    <x v="1"/>
    <x v="0"/>
    <x v="2"/>
    <x v="4"/>
    <s v="Basic"/>
    <n v="1"/>
    <n v="0"/>
    <n v="0"/>
    <n v="0"/>
    <n v="0"/>
    <n v="0"/>
    <n v="0"/>
    <m/>
    <n v="70.2"/>
  </r>
  <r>
    <x v="1352"/>
    <d v="2025-04-17T00:00:00"/>
    <x v="1"/>
    <x v="2"/>
    <x v="0"/>
    <x v="2"/>
    <s v="Free"/>
    <n v="1"/>
    <n v="0"/>
    <n v="0"/>
    <n v="0"/>
    <n v="0"/>
    <n v="1"/>
    <n v="0"/>
    <m/>
    <n v="67.099999999999994"/>
  </r>
  <r>
    <x v="1353"/>
    <d v="2025-05-04T00:00:00"/>
    <x v="1"/>
    <x v="2"/>
    <x v="1"/>
    <x v="1"/>
    <s v="Free"/>
    <n v="0"/>
    <n v="0"/>
    <n v="0"/>
    <n v="0"/>
    <n v="0"/>
    <n v="0"/>
    <n v="0"/>
    <m/>
    <n v="54.5"/>
  </r>
  <r>
    <x v="1354"/>
    <d v="2025-05-11T00:00:00"/>
    <x v="1"/>
    <x v="1"/>
    <x v="0"/>
    <x v="1"/>
    <s v="Free"/>
    <n v="1"/>
    <n v="0"/>
    <n v="0"/>
    <n v="0"/>
    <n v="0"/>
    <n v="0"/>
    <n v="0"/>
    <m/>
    <n v="63.4"/>
  </r>
  <r>
    <x v="1355"/>
    <d v="2025-03-01T00:00:00"/>
    <x v="1"/>
    <x v="0"/>
    <x v="0"/>
    <x v="5"/>
    <s v="Free"/>
    <n v="1"/>
    <n v="1"/>
    <n v="1"/>
    <n v="0"/>
    <n v="0"/>
    <n v="0"/>
    <n v="0"/>
    <m/>
    <n v="84.3"/>
  </r>
  <r>
    <x v="1356"/>
    <d v="2025-02-20T00:00:00"/>
    <x v="1"/>
    <x v="1"/>
    <x v="0"/>
    <x v="1"/>
    <s v="Free"/>
    <n v="1"/>
    <n v="0"/>
    <n v="0"/>
    <n v="0"/>
    <n v="0"/>
    <n v="1"/>
    <n v="0"/>
    <m/>
    <n v="55"/>
  </r>
  <r>
    <x v="1357"/>
    <d v="2025-05-09T00:00:00"/>
    <x v="1"/>
    <x v="1"/>
    <x v="1"/>
    <x v="4"/>
    <s v="Free"/>
    <n v="1"/>
    <n v="0"/>
    <n v="0"/>
    <n v="0"/>
    <n v="0"/>
    <n v="0"/>
    <n v="0"/>
    <m/>
    <n v="63.6"/>
  </r>
  <r>
    <x v="1358"/>
    <d v="2025-04-30T00:00:00"/>
    <x v="1"/>
    <x v="1"/>
    <x v="1"/>
    <x v="1"/>
    <s v="Free"/>
    <n v="1"/>
    <n v="0"/>
    <n v="0"/>
    <n v="0"/>
    <n v="0"/>
    <n v="0"/>
    <n v="0"/>
    <m/>
    <n v="55.5"/>
  </r>
  <r>
    <x v="1359"/>
    <d v="2025-01-07T00:00:00"/>
    <x v="1"/>
    <x v="3"/>
    <x v="1"/>
    <x v="4"/>
    <s v="Basic"/>
    <n v="0"/>
    <n v="0"/>
    <n v="0"/>
    <n v="0"/>
    <n v="0"/>
    <n v="0"/>
    <n v="0"/>
    <m/>
    <n v="50.5"/>
  </r>
  <r>
    <x v="1360"/>
    <d v="2025-04-30T00:00:00"/>
    <x v="1"/>
    <x v="0"/>
    <x v="1"/>
    <x v="4"/>
    <s v="Basic"/>
    <n v="1"/>
    <n v="0"/>
    <n v="0"/>
    <n v="0"/>
    <n v="0"/>
    <n v="0"/>
    <n v="0"/>
    <m/>
    <n v="45.3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1362"/>
    <d v="2025-03-12T00:00:00"/>
    <x v="1"/>
    <x v="3"/>
    <x v="1"/>
    <x v="2"/>
    <s v="Premium"/>
    <n v="1"/>
    <n v="1"/>
    <n v="1"/>
    <n v="0"/>
    <n v="0"/>
    <n v="0"/>
    <n v="0"/>
    <m/>
    <n v="88.2"/>
  </r>
  <r>
    <x v="1363"/>
    <d v="2025-02-17T00:00:00"/>
    <x v="1"/>
    <x v="0"/>
    <x v="1"/>
    <x v="1"/>
    <s v="Premium"/>
    <n v="1"/>
    <n v="0"/>
    <n v="0"/>
    <n v="0"/>
    <n v="0"/>
    <n v="0"/>
    <n v="0"/>
    <m/>
    <n v="51.8"/>
  </r>
  <r>
    <x v="1364"/>
    <d v="2025-05-27T00:00:00"/>
    <x v="1"/>
    <x v="0"/>
    <x v="0"/>
    <x v="1"/>
    <s v="Basic"/>
    <n v="0"/>
    <n v="0"/>
    <n v="0"/>
    <n v="0"/>
    <n v="0"/>
    <n v="0"/>
    <n v="0"/>
    <m/>
    <n v="87.9"/>
  </r>
  <r>
    <x v="1365"/>
    <d v="2025-05-10T00:00:00"/>
    <x v="1"/>
    <x v="3"/>
    <x v="1"/>
    <x v="4"/>
    <s v="Premium"/>
    <n v="1"/>
    <n v="0"/>
    <n v="0"/>
    <n v="0"/>
    <n v="0"/>
    <n v="2"/>
    <n v="0"/>
    <m/>
    <n v="70.5"/>
  </r>
  <r>
    <x v="1366"/>
    <d v="2025-01-20T00:00:00"/>
    <x v="1"/>
    <x v="0"/>
    <x v="1"/>
    <x v="1"/>
    <s v="Basic"/>
    <n v="1"/>
    <n v="1"/>
    <n v="0"/>
    <n v="0"/>
    <n v="0"/>
    <n v="2"/>
    <n v="0"/>
    <m/>
    <n v="58.5"/>
  </r>
  <r>
    <x v="1367"/>
    <d v="2025-01-19T00:00:00"/>
    <x v="1"/>
    <x v="2"/>
    <x v="1"/>
    <x v="3"/>
    <s v="Free"/>
    <n v="1"/>
    <n v="0"/>
    <n v="0"/>
    <n v="0"/>
    <n v="0"/>
    <n v="0"/>
    <n v="0"/>
    <m/>
    <n v="65.599999999999994"/>
  </r>
  <r>
    <x v="1368"/>
    <d v="2025-03-07T00:00:00"/>
    <x v="1"/>
    <x v="1"/>
    <x v="0"/>
    <x v="2"/>
    <s v="Basic"/>
    <n v="1"/>
    <n v="1"/>
    <n v="0"/>
    <n v="0"/>
    <n v="0"/>
    <n v="0"/>
    <n v="0"/>
    <m/>
    <n v="62.7"/>
  </r>
  <r>
    <x v="1369"/>
    <d v="2025-02-02T00:00:00"/>
    <x v="1"/>
    <x v="2"/>
    <x v="1"/>
    <x v="1"/>
    <s v="Free"/>
    <n v="0"/>
    <n v="0"/>
    <n v="0"/>
    <n v="0"/>
    <n v="0"/>
    <n v="1"/>
    <n v="0"/>
    <m/>
    <n v="50.9"/>
  </r>
  <r>
    <x v="1370"/>
    <d v="2025-03-07T00:00:00"/>
    <x v="1"/>
    <x v="0"/>
    <x v="1"/>
    <x v="1"/>
    <s v="Free"/>
    <n v="0"/>
    <n v="0"/>
    <n v="0"/>
    <n v="0"/>
    <n v="0"/>
    <n v="1"/>
    <n v="0"/>
    <m/>
    <n v="60.6"/>
  </r>
  <r>
    <x v="1371"/>
    <d v="2025-03-30T00:00:00"/>
    <x v="1"/>
    <x v="2"/>
    <x v="0"/>
    <x v="1"/>
    <s v="Free"/>
    <n v="1"/>
    <n v="1"/>
    <n v="1"/>
    <n v="0"/>
    <n v="0"/>
    <n v="0"/>
    <n v="0"/>
    <m/>
    <n v="76.599999999999994"/>
  </r>
  <r>
    <x v="1372"/>
    <d v="2025-05-05T00:00:00"/>
    <x v="1"/>
    <x v="2"/>
    <x v="0"/>
    <x v="2"/>
    <s v="Free"/>
    <n v="1"/>
    <n v="1"/>
    <n v="1"/>
    <n v="0"/>
    <n v="0"/>
    <n v="0"/>
    <n v="0"/>
    <m/>
    <n v="54.4"/>
  </r>
  <r>
    <x v="1373"/>
    <d v="2025-04-11T00:00:00"/>
    <x v="1"/>
    <x v="3"/>
    <x v="1"/>
    <x v="4"/>
    <s v="Free"/>
    <n v="1"/>
    <n v="0"/>
    <n v="0"/>
    <n v="0"/>
    <n v="0"/>
    <n v="0"/>
    <n v="0"/>
    <m/>
    <n v="31.2"/>
  </r>
  <r>
    <x v="1374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x v="1375"/>
    <d v="2025-03-24T00:00:00"/>
    <x v="1"/>
    <x v="0"/>
    <x v="1"/>
    <x v="1"/>
    <s v="Premium"/>
    <n v="1"/>
    <n v="0"/>
    <n v="0"/>
    <n v="0"/>
    <n v="0"/>
    <n v="0"/>
    <n v="0"/>
    <m/>
    <n v="74.5"/>
  </r>
  <r>
    <x v="1376"/>
    <d v="2025-04-27T00:00:00"/>
    <x v="1"/>
    <x v="2"/>
    <x v="1"/>
    <x v="1"/>
    <s v="Basic"/>
    <n v="0"/>
    <n v="0"/>
    <n v="0"/>
    <n v="0"/>
    <n v="0"/>
    <n v="0"/>
    <n v="0"/>
    <m/>
    <n v="52.6"/>
  </r>
  <r>
    <x v="1377"/>
    <d v="2025-01-25T00:00:00"/>
    <x v="1"/>
    <x v="0"/>
    <x v="0"/>
    <x v="2"/>
    <s v="Free"/>
    <n v="1"/>
    <n v="0"/>
    <n v="0"/>
    <n v="0"/>
    <n v="0"/>
    <n v="0"/>
    <n v="0"/>
    <m/>
    <n v="75.400000000000006"/>
  </r>
  <r>
    <x v="1378"/>
    <d v="2025-02-17T00:00:00"/>
    <x v="1"/>
    <x v="0"/>
    <x v="2"/>
    <x v="4"/>
    <s v="Basic"/>
    <n v="1"/>
    <n v="1"/>
    <n v="1"/>
    <n v="1"/>
    <n v="751.33"/>
    <n v="0"/>
    <n v="0"/>
    <n v="9"/>
    <n v="34"/>
  </r>
  <r>
    <x v="1379"/>
    <d v="2025-04-13T00:00:00"/>
    <x v="1"/>
    <x v="3"/>
    <x v="0"/>
    <x v="1"/>
    <s v="Free"/>
    <n v="1"/>
    <n v="0"/>
    <n v="0"/>
    <n v="0"/>
    <n v="0"/>
    <n v="0"/>
    <n v="0"/>
    <m/>
    <n v="67.099999999999994"/>
  </r>
  <r>
    <x v="1380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x v="1381"/>
    <d v="2025-04-29T00:00:00"/>
    <x v="1"/>
    <x v="1"/>
    <x v="1"/>
    <x v="0"/>
    <s v="Free"/>
    <n v="1"/>
    <n v="0"/>
    <n v="0"/>
    <n v="0"/>
    <n v="0"/>
    <n v="0"/>
    <n v="0"/>
    <m/>
    <n v="54.7"/>
  </r>
  <r>
    <x v="1382"/>
    <d v="2025-05-03T00:00:00"/>
    <x v="1"/>
    <x v="2"/>
    <x v="0"/>
    <x v="2"/>
    <s v="Free"/>
    <n v="1"/>
    <n v="0"/>
    <n v="0"/>
    <n v="0"/>
    <n v="0"/>
    <n v="0"/>
    <n v="0"/>
    <m/>
    <n v="51.8"/>
  </r>
  <r>
    <x v="1383"/>
    <d v="2025-04-28T00:00:00"/>
    <x v="1"/>
    <x v="1"/>
    <x v="1"/>
    <x v="2"/>
    <s v="Free"/>
    <n v="0"/>
    <n v="0"/>
    <n v="0"/>
    <n v="0"/>
    <n v="0"/>
    <n v="0"/>
    <n v="0"/>
    <m/>
    <n v="49.2"/>
  </r>
  <r>
    <x v="1384"/>
    <d v="2025-01-21T00:00:00"/>
    <x v="1"/>
    <x v="1"/>
    <x v="1"/>
    <x v="1"/>
    <s v="Free"/>
    <n v="1"/>
    <n v="0"/>
    <n v="0"/>
    <n v="0"/>
    <n v="0"/>
    <n v="2"/>
    <n v="0"/>
    <m/>
    <n v="58.8"/>
  </r>
  <r>
    <x v="1385"/>
    <d v="2025-01-21T00:00:00"/>
    <x v="1"/>
    <x v="0"/>
    <x v="2"/>
    <x v="2"/>
    <s v="Basic"/>
    <n v="0"/>
    <n v="0"/>
    <n v="0"/>
    <n v="0"/>
    <n v="0"/>
    <n v="1"/>
    <n v="0"/>
    <m/>
    <n v="59.1"/>
  </r>
  <r>
    <x v="1386"/>
    <d v="2025-05-21T00:00:00"/>
    <x v="1"/>
    <x v="1"/>
    <x v="0"/>
    <x v="2"/>
    <s v="Free"/>
    <n v="1"/>
    <n v="0"/>
    <n v="0"/>
    <n v="0"/>
    <n v="0"/>
    <n v="2"/>
    <n v="0"/>
    <m/>
    <n v="49.6"/>
  </r>
  <r>
    <x v="1387"/>
    <d v="2025-01-05T00:00:00"/>
    <x v="1"/>
    <x v="0"/>
    <x v="1"/>
    <x v="3"/>
    <s v="Free"/>
    <n v="0"/>
    <n v="0"/>
    <n v="0"/>
    <n v="0"/>
    <n v="0"/>
    <n v="0"/>
    <n v="0"/>
    <m/>
    <n v="58.2"/>
  </r>
  <r>
    <x v="1388"/>
    <d v="2025-03-06T00:00:00"/>
    <x v="1"/>
    <x v="3"/>
    <x v="0"/>
    <x v="1"/>
    <s v="Free"/>
    <n v="1"/>
    <n v="0"/>
    <n v="0"/>
    <n v="0"/>
    <n v="0"/>
    <n v="0"/>
    <n v="0"/>
    <m/>
    <n v="66.8"/>
  </r>
  <r>
    <x v="1389"/>
    <d v="2025-04-18T00:00:00"/>
    <x v="1"/>
    <x v="0"/>
    <x v="1"/>
    <x v="2"/>
    <s v="Free"/>
    <n v="1"/>
    <n v="0"/>
    <n v="0"/>
    <n v="0"/>
    <n v="0"/>
    <n v="3"/>
    <n v="0"/>
    <m/>
    <n v="58.3"/>
  </r>
  <r>
    <x v="1390"/>
    <d v="2025-04-15T00:00:00"/>
    <x v="1"/>
    <x v="1"/>
    <x v="1"/>
    <x v="1"/>
    <s v="Basic"/>
    <n v="1"/>
    <n v="1"/>
    <n v="1"/>
    <n v="0"/>
    <n v="0"/>
    <n v="0"/>
    <n v="0"/>
    <m/>
    <n v="38.5"/>
  </r>
  <r>
    <x v="1391"/>
    <d v="2025-02-10T00:00:00"/>
    <x v="1"/>
    <x v="2"/>
    <x v="1"/>
    <x v="2"/>
    <s v="Free"/>
    <n v="1"/>
    <n v="0"/>
    <n v="0"/>
    <n v="0"/>
    <n v="0"/>
    <n v="0"/>
    <n v="0"/>
    <m/>
    <n v="76.900000000000006"/>
  </r>
  <r>
    <x v="1392"/>
    <d v="2025-05-08T00:00:00"/>
    <x v="1"/>
    <x v="2"/>
    <x v="1"/>
    <x v="1"/>
    <s v="Free"/>
    <n v="1"/>
    <n v="0"/>
    <n v="0"/>
    <n v="0"/>
    <n v="0"/>
    <n v="0"/>
    <n v="0"/>
    <m/>
    <n v="54"/>
  </r>
  <r>
    <x v="1393"/>
    <d v="2025-05-28T00:00:00"/>
    <x v="1"/>
    <x v="2"/>
    <x v="2"/>
    <x v="1"/>
    <s v="Free"/>
    <n v="1"/>
    <n v="0"/>
    <n v="0"/>
    <n v="0"/>
    <n v="0"/>
    <n v="0"/>
    <n v="0"/>
    <m/>
    <n v="70.599999999999994"/>
  </r>
  <r>
    <x v="1394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x v="1395"/>
    <d v="2025-02-11T00:00:00"/>
    <x v="1"/>
    <x v="3"/>
    <x v="1"/>
    <x v="5"/>
    <s v="Premium"/>
    <n v="1"/>
    <n v="1"/>
    <n v="1"/>
    <n v="1"/>
    <n v="1009.9"/>
    <n v="0"/>
    <n v="0"/>
    <n v="6"/>
    <n v="89.7"/>
  </r>
  <r>
    <x v="1396"/>
    <d v="2025-04-14T00:00:00"/>
    <x v="1"/>
    <x v="1"/>
    <x v="1"/>
    <x v="1"/>
    <s v="Free"/>
    <n v="1"/>
    <n v="0"/>
    <n v="0"/>
    <n v="0"/>
    <n v="0"/>
    <n v="0"/>
    <n v="0"/>
    <m/>
    <n v="62.4"/>
  </r>
  <r>
    <x v="1397"/>
    <d v="2025-02-04T00:00:00"/>
    <x v="1"/>
    <x v="1"/>
    <x v="2"/>
    <x v="1"/>
    <s v="Premium"/>
    <n v="0"/>
    <n v="0"/>
    <n v="0"/>
    <n v="0"/>
    <n v="0"/>
    <n v="0"/>
    <n v="0"/>
    <m/>
    <n v="67.3"/>
  </r>
  <r>
    <x v="1398"/>
    <d v="2025-03-22T00:00:00"/>
    <x v="1"/>
    <x v="2"/>
    <x v="1"/>
    <x v="3"/>
    <s v="Free"/>
    <n v="1"/>
    <n v="0"/>
    <n v="0"/>
    <n v="0"/>
    <n v="0"/>
    <n v="0"/>
    <n v="0"/>
    <m/>
    <n v="54.9"/>
  </r>
  <r>
    <x v="1399"/>
    <d v="2025-04-18T00:00:00"/>
    <x v="1"/>
    <x v="2"/>
    <x v="0"/>
    <x v="4"/>
    <s v="Free"/>
    <n v="0"/>
    <n v="0"/>
    <n v="0"/>
    <n v="0"/>
    <n v="0"/>
    <n v="0"/>
    <n v="0"/>
    <m/>
    <n v="55.7"/>
  </r>
  <r>
    <x v="916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x v="432"/>
    <d v="2025-02-03T00:00:00"/>
    <x v="0"/>
    <x v="0"/>
    <x v="2"/>
    <x v="0"/>
    <s v="Basic"/>
    <n v="1"/>
    <n v="0"/>
    <n v="0"/>
    <n v="0"/>
    <n v="0"/>
    <n v="0"/>
    <n v="0"/>
    <m/>
    <n v="60.9"/>
  </r>
  <r>
    <x v="1361"/>
    <d v="2025-05-23T00:00:00"/>
    <x v="1"/>
    <x v="2"/>
    <x v="1"/>
    <x v="1"/>
    <s v="Basic"/>
    <n v="1"/>
    <n v="0"/>
    <n v="0"/>
    <n v="0"/>
    <n v="0"/>
    <n v="0"/>
    <n v="0"/>
    <m/>
    <n v="33.6"/>
  </r>
  <r>
    <x v="95"/>
    <d v="2025-02-05T00:00:00"/>
    <x v="0"/>
    <x v="2"/>
    <x v="1"/>
    <x v="4"/>
    <s v="Free"/>
    <n v="0"/>
    <n v="0"/>
    <n v="0"/>
    <n v="0"/>
    <n v="0"/>
    <n v="0"/>
    <n v="0"/>
    <m/>
    <n v="68"/>
  </r>
  <r>
    <x v="1209"/>
    <d v="2025-02-24T00:00:00"/>
    <x v="1"/>
    <x v="1"/>
    <x v="1"/>
    <x v="1"/>
    <s v="Basic"/>
    <n v="1"/>
    <n v="0"/>
    <n v="0"/>
    <n v="0"/>
    <n v="0"/>
    <n v="0"/>
    <n v="0"/>
    <m/>
    <n v="62"/>
  </r>
  <r>
    <x v="1231"/>
    <d v="2025-03-30T00:00:00"/>
    <x v="1"/>
    <x v="2"/>
    <x v="1"/>
    <x v="1"/>
    <s v="Free"/>
    <n v="1"/>
    <n v="1"/>
    <n v="1"/>
    <n v="0"/>
    <n v="0"/>
    <n v="1"/>
    <n v="0"/>
    <m/>
    <n v="72.5"/>
  </r>
  <r>
    <x v="1058"/>
    <d v="2025-05-16T00:00:00"/>
    <x v="1"/>
    <x v="3"/>
    <x v="1"/>
    <x v="1"/>
    <s v="Free"/>
    <n v="1"/>
    <n v="0"/>
    <n v="0"/>
    <n v="0"/>
    <n v="0"/>
    <n v="0"/>
    <n v="0"/>
    <m/>
    <n v="70.3"/>
  </r>
  <r>
    <x v="540"/>
    <d v="2025-05-22T00:00:00"/>
    <x v="0"/>
    <x v="0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EC641-5FD5-4CCE-B762-11A8512E0FCA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7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D952C-979F-4CB5-A710-D4E97FB54230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D29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67880-7C1A-4FC0-8543-E720CC907682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D17" firstHeaderRow="1" firstDataRow="2" firstDataCol="1"/>
  <pivotFields count="16"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showDataAs="percentOfRow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9"/>
  <sheetViews>
    <sheetView topLeftCell="M598" workbookViewId="0">
      <selection activeCell="Q1" sqref="Q1:Q1048576"/>
    </sheetView>
  </sheetViews>
  <sheetFormatPr defaultRowHeight="15"/>
  <cols>
    <col min="1" max="1" width="14.42578125" customWidth="1"/>
    <col min="2" max="2" width="24.5703125" customWidth="1"/>
    <col min="3" max="3" width="18.42578125" customWidth="1"/>
    <col min="4" max="4" width="15.7109375" customWidth="1"/>
    <col min="5" max="5" width="19.7109375" customWidth="1"/>
    <col min="6" max="6" width="22.140625" customWidth="1"/>
    <col min="7" max="7" width="19.28515625" customWidth="1"/>
    <col min="8" max="8" width="22.140625" customWidth="1"/>
    <col min="9" max="9" width="18.5703125" customWidth="1"/>
    <col min="10" max="10" width="18.85546875" customWidth="1"/>
    <col min="11" max="11" width="20" customWidth="1"/>
    <col min="12" max="12" width="15.140625" customWidth="1"/>
    <col min="13" max="13" width="21.85546875" customWidth="1"/>
    <col min="14" max="14" width="15.5703125" customWidth="1"/>
    <col min="15" max="15" width="18" customWidth="1"/>
    <col min="16" max="16" width="20.140625" customWidth="1"/>
    <col min="20" max="20" width="36.5703125" bestFit="1" customWidth="1"/>
  </cols>
  <sheetData>
    <row r="1" spans="1:20" ht="5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20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20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20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  <c r="T5" s="12"/>
    </row>
    <row r="6" spans="1:20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20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20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20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20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20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20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20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20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20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20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2707-D0E1-4B1F-9836-A4BD03066815}">
  <dimension ref="A1:C13"/>
  <sheetViews>
    <sheetView workbookViewId="0">
      <selection activeCell="A16" sqref="A16"/>
    </sheetView>
  </sheetViews>
  <sheetFormatPr defaultRowHeight="15"/>
  <cols>
    <col min="1" max="1" width="38.7109375" customWidth="1"/>
    <col min="2" max="2" width="20.85546875" customWidth="1"/>
    <col min="3" max="3" width="14" customWidth="1"/>
  </cols>
  <sheetData>
    <row r="1" spans="1:3" ht="30.75">
      <c r="A1" s="4" t="s">
        <v>1433</v>
      </c>
      <c r="B1" s="4" t="s">
        <v>17</v>
      </c>
      <c r="C1" s="4" t="s">
        <v>723</v>
      </c>
    </row>
    <row r="2" spans="1:3">
      <c r="A2" s="5" t="s">
        <v>1434</v>
      </c>
      <c r="B2" s="8">
        <f>COUNTIF(Raw_Data!C:C,"Control")</f>
        <v>693</v>
      </c>
      <c r="C2" s="8">
        <f>COUNTIF(Raw_Data!C:C,"Treatment")</f>
        <v>715</v>
      </c>
    </row>
    <row r="3" spans="1:3">
      <c r="A3" s="5" t="s">
        <v>1435</v>
      </c>
      <c r="B3" s="7">
        <f>COUNTIFS(Raw_Data!C:C,"Control",Raw_Data!H:H,1)/COUNTIF(Raw_Data!C:C,"Control")</f>
        <v>0.63636363636363635</v>
      </c>
      <c r="C3" s="7">
        <f>COUNTIFS(Raw_Data!C:C,"Treatment",Raw_Data!H:H,1)/COUNTIF(Raw_Data!C:C,"Treatment")</f>
        <v>0.72587412587412592</v>
      </c>
    </row>
    <row r="4" spans="1:3">
      <c r="A4" s="5" t="s">
        <v>1436</v>
      </c>
      <c r="B4" s="7">
        <f>COUNTIFS(Raw_Data!C:C,"Control",Raw_Data!I:I,1)/COUNTIF(Raw_Data!C:C,"Control")</f>
        <v>0.25108225108225107</v>
      </c>
      <c r="C4" s="7">
        <f>COUNTIFS(Raw_Data!C:C,"Treatment",Raw_Data!I:I,1)/COUNTIF(Raw_Data!C:C,"Treatment")</f>
        <v>0.29090909090909089</v>
      </c>
    </row>
    <row r="5" spans="1:3">
      <c r="A5" s="5" t="s">
        <v>1437</v>
      </c>
      <c r="B5" s="7">
        <f>COUNTIFS(Raw_Data!C:C,"Control",Raw_Data!J:J,1)/COUNTIF(Raw_Data!C:C,"Control")</f>
        <v>0.15584415584415584</v>
      </c>
      <c r="C5" s="7">
        <f>COUNTIFS(Raw_Data!C:C,"Treatment",Raw_Data!J:J,1)/COUNTIF(Raw_Data!C:C,"Treatment")</f>
        <v>0.21258741258741259</v>
      </c>
    </row>
    <row r="6" spans="1:3">
      <c r="A6" s="5" t="s">
        <v>1438</v>
      </c>
      <c r="B6" s="7">
        <f>COUNTIFS(Raw_Data!C:C,"Control",Raw_Data!K:K,1)/COUNTIF(Raw_Data!C:C,"Control")</f>
        <v>3.1746031746031744E-2</v>
      </c>
      <c r="C6" s="7">
        <f>COUNTIFS(Raw_Data!C:C,"Treatment",Raw_Data!K:K,1)/COUNTIF(Raw_Data!C:C,"Treatment")</f>
        <v>6.9930069930069935E-2</v>
      </c>
    </row>
    <row r="7" spans="1:3">
      <c r="A7" s="5" t="s">
        <v>1439</v>
      </c>
      <c r="B7" s="9">
        <f>SUMIFS(Raw_Data!L:L,Raw_Data!C:C,"Control")/COUNTIF(Raw_Data!C:C,"Control")</f>
        <v>51.74932178932179</v>
      </c>
      <c r="C7" s="9">
        <f>SUMIFS(Raw_Data!L:L,Raw_Data!C:C,"Treatment")/COUNTIF(Raw_Data!C:C,"Treatment")</f>
        <v>53.875118881118873</v>
      </c>
    </row>
    <row r="8" spans="1:3">
      <c r="A8" s="5" t="s">
        <v>1440</v>
      </c>
      <c r="B8" s="9">
        <f>SUMIFS(Raw_Data!L:L,Raw_Data!C:C,"Control")/COUNTIFS(Raw_Data!C:C,"Control",Raw_Data!K:K,1)</f>
        <v>1630.1036363636363</v>
      </c>
      <c r="C8" s="9">
        <f>SUMIFS(Raw_Data!L:L,Raw_Data!C:C,"Treatment")/COUNTIFS(Raw_Data!C:C,"Treatment",Raw_Data!K:K,1)</f>
        <v>770.41419999999982</v>
      </c>
    </row>
    <row r="9" spans="1:3">
      <c r="A9" s="5" t="s">
        <v>1441</v>
      </c>
      <c r="B9" s="7">
        <f>COUNTIFS(Raw_Data!C:C,"Control",Raw_Data!N:N,1)/COUNTIF(Raw_Data!C:C,"Control")</f>
        <v>0</v>
      </c>
      <c r="C9" s="7">
        <f>COUNTIFS(Raw_Data!C:C,"Treatment",Raw_Data!N:N,1)/COUNTIF(Raw_Data!C:C,"Treatment")</f>
        <v>4.1958041958041958E-3</v>
      </c>
    </row>
    <row r="10" spans="1:3">
      <c r="A10" s="5" t="s">
        <v>1442</v>
      </c>
      <c r="B10" s="7">
        <f>AVERAGEIFS(Raw_Data!M:M,Raw_Data!C:C,"Control")</f>
        <v>0.21933621933621933</v>
      </c>
      <c r="C10" s="7">
        <f>AVERAGEIFS(Raw_Data!M:M,Raw_Data!C:C,"Treatment")</f>
        <v>0.37202797202797205</v>
      </c>
    </row>
    <row r="11" spans="1:3">
      <c r="A11" s="5" t="s">
        <v>1443</v>
      </c>
      <c r="B11" s="9">
        <f>AVERAGEIFS(Raw_Data!P:P,Raw_Data!C:C,"Control")</f>
        <v>57.026200873362491</v>
      </c>
      <c r="C11" s="9">
        <f>AVERAGEIFS(Raw_Data!P:P,Raw_Data!C:C,"Treatment")</f>
        <v>62.931966053748233</v>
      </c>
    </row>
    <row r="12" spans="1:3">
      <c r="A12" s="5" t="s">
        <v>1444</v>
      </c>
      <c r="B12" s="9">
        <f>AVERAGEIFS(Raw_Data!O:O,Raw_Data!C:C,"Control",Raw_Data!K:K,1)</f>
        <v>8.8636363636363633</v>
      </c>
      <c r="C12" s="9">
        <f>AVERAGEIFS(Raw_Data!O:O,Raw_Data!C:C,"Treatment",Raw_Data!K:K,1)</f>
        <v>6.4</v>
      </c>
    </row>
    <row r="13" spans="1:3">
      <c r="A13" s="10" t="s">
        <v>1442</v>
      </c>
      <c r="B13" s="11">
        <f>COUNTIFS(Raw_Data!C:C,"Control",Raw_Data!M:M,"&gt;0")/COUNTIF(Raw_Data!C:C,"Control")</f>
        <v>0.1471861471861472</v>
      </c>
      <c r="C13" s="11">
        <f>COUNTIFS(Raw_Data!C:C,"Treatment",Raw_Data!M:M,"&gt;0")/COUNTIF(Raw_Data!C:C,"Treatment")</f>
        <v>0.24755244755244754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41BC-77D7-421A-A8B8-27472E159D85}">
  <dimension ref="A1:D29"/>
  <sheetViews>
    <sheetView tabSelected="1" workbookViewId="0">
      <selection activeCell="H25" sqref="H25"/>
    </sheetView>
  </sheetViews>
  <sheetFormatPr defaultRowHeight="15"/>
  <cols>
    <col min="1" max="1" width="24.42578125" customWidth="1"/>
    <col min="2" max="2" width="20.5703125" customWidth="1"/>
    <col min="3" max="3" width="10.28515625" customWidth="1"/>
    <col min="4" max="4" width="11.42578125" customWidth="1"/>
    <col min="5" max="5" width="11.42578125" bestFit="1" customWidth="1"/>
  </cols>
  <sheetData>
    <row r="1" spans="1:4">
      <c r="A1" s="6" t="s">
        <v>1445</v>
      </c>
      <c r="B1" s="6" t="s">
        <v>2</v>
      </c>
    </row>
    <row r="2" spans="1:4">
      <c r="A2" s="6" t="s">
        <v>3</v>
      </c>
      <c r="B2" t="s">
        <v>17</v>
      </c>
      <c r="C2" t="s">
        <v>723</v>
      </c>
      <c r="D2" t="s">
        <v>1446</v>
      </c>
    </row>
    <row r="3" spans="1:4">
      <c r="A3" t="s">
        <v>28</v>
      </c>
      <c r="B3" s="11">
        <v>0.26666666666666666</v>
      </c>
      <c r="C3" s="11">
        <v>0.73333333333333328</v>
      </c>
      <c r="D3" s="11">
        <v>1</v>
      </c>
    </row>
    <row r="4" spans="1:4">
      <c r="A4" t="s">
        <v>18</v>
      </c>
      <c r="B4" s="11">
        <v>0.30434782608695654</v>
      </c>
      <c r="C4" s="11">
        <v>0.69565217391304346</v>
      </c>
      <c r="D4" s="11">
        <v>1</v>
      </c>
    </row>
    <row r="5" spans="1:4">
      <c r="A5" t="s">
        <v>32</v>
      </c>
      <c r="B5" s="11">
        <v>0.3</v>
      </c>
      <c r="C5" s="11">
        <v>0.7</v>
      </c>
      <c r="D5" s="11">
        <v>1</v>
      </c>
    </row>
    <row r="6" spans="1:4">
      <c r="A6" t="s">
        <v>23</v>
      </c>
      <c r="B6" s="11">
        <v>0.35714285714285715</v>
      </c>
      <c r="C6" s="11">
        <v>0.6428571428571429</v>
      </c>
      <c r="D6" s="11">
        <v>1</v>
      </c>
    </row>
    <row r="7" spans="1:4">
      <c r="A7" t="s">
        <v>1446</v>
      </c>
      <c r="B7" s="11">
        <v>0.30555555555555558</v>
      </c>
      <c r="C7" s="11">
        <v>0.69444444444444442</v>
      </c>
      <c r="D7" s="11">
        <v>1</v>
      </c>
    </row>
    <row r="11" spans="1:4">
      <c r="A11" s="6" t="s">
        <v>1445</v>
      </c>
      <c r="B11" s="6" t="s">
        <v>2</v>
      </c>
    </row>
    <row r="12" spans="1:4">
      <c r="A12" s="6" t="s">
        <v>4</v>
      </c>
      <c r="B12" t="s">
        <v>17</v>
      </c>
      <c r="C12" t="s">
        <v>723</v>
      </c>
      <c r="D12" t="s">
        <v>1446</v>
      </c>
    </row>
    <row r="13" spans="1:4">
      <c r="A13" t="s">
        <v>19</v>
      </c>
      <c r="B13" s="11">
        <v>0.39130434782608697</v>
      </c>
      <c r="C13" s="11">
        <v>0.60869565217391308</v>
      </c>
      <c r="D13" s="11">
        <v>1</v>
      </c>
    </row>
    <row r="14" spans="1:4">
      <c r="A14" t="s">
        <v>24</v>
      </c>
      <c r="B14" s="11">
        <v>0.2558139534883721</v>
      </c>
      <c r="C14" s="11">
        <v>0.7441860465116279</v>
      </c>
      <c r="D14" s="11">
        <v>1</v>
      </c>
    </row>
    <row r="15" spans="1:4">
      <c r="A15" t="s">
        <v>34</v>
      </c>
      <c r="B15" s="11">
        <v>0.2</v>
      </c>
      <c r="C15" s="11">
        <v>0.8</v>
      </c>
      <c r="D15" s="11">
        <v>1</v>
      </c>
    </row>
    <row r="16" spans="1:4">
      <c r="A16" t="s">
        <v>1447</v>
      </c>
      <c r="B16" s="11">
        <v>1</v>
      </c>
      <c r="C16" s="11">
        <v>0</v>
      </c>
      <c r="D16" s="11">
        <v>1</v>
      </c>
    </row>
    <row r="17" spans="1:4">
      <c r="A17" t="s">
        <v>1446</v>
      </c>
      <c r="B17" s="11">
        <v>0.30555555555555558</v>
      </c>
      <c r="C17" s="11">
        <v>0.69444444444444442</v>
      </c>
      <c r="D17" s="11">
        <v>1</v>
      </c>
    </row>
    <row r="21" spans="1:4">
      <c r="A21" s="6" t="s">
        <v>1445</v>
      </c>
      <c r="B21" s="6" t="s">
        <v>2</v>
      </c>
    </row>
    <row r="22" spans="1:4">
      <c r="A22" s="6" t="s">
        <v>5</v>
      </c>
      <c r="B22" t="s">
        <v>17</v>
      </c>
      <c r="C22" t="s">
        <v>723</v>
      </c>
      <c r="D22" t="s">
        <v>1446</v>
      </c>
    </row>
    <row r="23" spans="1:4">
      <c r="A23" t="s">
        <v>20</v>
      </c>
      <c r="B23" s="11">
        <v>0.33333333333333331</v>
      </c>
      <c r="C23" s="11">
        <v>0.66666666666666663</v>
      </c>
      <c r="D23" s="11">
        <v>1</v>
      </c>
    </row>
    <row r="24" spans="1:4">
      <c r="A24" t="s">
        <v>25</v>
      </c>
      <c r="B24" s="11">
        <v>0.25</v>
      </c>
      <c r="C24" s="11">
        <v>0.75</v>
      </c>
      <c r="D24" s="11">
        <v>1</v>
      </c>
    </row>
    <row r="25" spans="1:4">
      <c r="A25" t="s">
        <v>29</v>
      </c>
      <c r="B25" s="11">
        <v>0.15384615384615385</v>
      </c>
      <c r="C25" s="11">
        <v>0.84615384615384615</v>
      </c>
      <c r="D25" s="11">
        <v>1</v>
      </c>
    </row>
    <row r="26" spans="1:4">
      <c r="A26" t="s">
        <v>39</v>
      </c>
      <c r="B26" s="11">
        <v>0.16666666666666666</v>
      </c>
      <c r="C26" s="11">
        <v>0.83333333333333337</v>
      </c>
      <c r="D26" s="11">
        <v>1</v>
      </c>
    </row>
    <row r="27" spans="1:4">
      <c r="A27" t="s">
        <v>41</v>
      </c>
      <c r="B27" s="11">
        <v>0.55555555555555558</v>
      </c>
      <c r="C27" s="11">
        <v>0.44444444444444442</v>
      </c>
      <c r="D27" s="11">
        <v>1</v>
      </c>
    </row>
    <row r="28" spans="1:4">
      <c r="A28" t="s">
        <v>1447</v>
      </c>
      <c r="B28" s="11">
        <v>0.33333333333333331</v>
      </c>
      <c r="C28" s="11">
        <v>0.66666666666666663</v>
      </c>
      <c r="D28" s="11">
        <v>1</v>
      </c>
    </row>
    <row r="29" spans="1:4">
      <c r="A29" t="s">
        <v>1446</v>
      </c>
      <c r="B29" s="11">
        <v>0.30555555555555558</v>
      </c>
      <c r="C29" s="11">
        <v>0.69444444444444442</v>
      </c>
      <c r="D29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2026-06-27T15:46:16Z</dcterms:modified>
  <cp:category/>
  <cp:contentStatus/>
</cp:coreProperties>
</file>